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jpeg" ContentType="image/jpeg"/>
  <Default Extension="gif" ContentType="image/gif"/>
  <Default Extension="svg" ContentType="image/svg"/>
  <Default Extension="emf" ContentType="image/x-emf"/>
  <Default Extension="emz" ContentType="image/x-emz"/>
  <Default Extension="wmz" ContentType="image/x-wmz"/>
  <Default Extension="png" ContentType="image/png"/>
  <Default Extension="tiff" ContentType="image/tiff"/>
  <Default Extension="wmf" ContentType="image/x-wm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commendations" sheetId="1" r:id="rId1"/>
    <sheet name="ImpactedResources" sheetId="2" r:id="rId4"/>
    <sheet name="ResourceTypes" sheetId="3" r:id="rId5"/>
    <sheet name="Inventory" sheetId="4" r:id="rId6"/>
    <sheet name="Advisor" sheetId="5" r:id="rId7"/>
    <sheet name="Defender" sheetId="6" r:id="rId8"/>
    <sheet name="OutOfScope" sheetId="7" r:id="rId9"/>
  </sheets>
  <definedNames>
    <definedName hidden="true" localSheetId="0" name="_xlnm._FilterDatabase">'Recommendations'!$A$4:$L$316</definedName>
    <definedName hidden="true" localSheetId="1" name="_xlnm._FilterDatabase">'ImpactedResources'!$A$4:$R$59</definedName>
    <definedName hidden="true" localSheetId="2" name="_xlnm._FilterDatabase">'ResourceTypes'!$A$4:$C$20</definedName>
    <definedName hidden="true" localSheetId="3" name="_xlnm._FilterDatabase">'Inventory'!$A$4:$K$29</definedName>
    <definedName hidden="true" localSheetId="4" name="_xlnm._FilterDatabase">'Advisor'!$A$4:$I$25</definedName>
    <definedName hidden="true" localSheetId="5" name="_xlnm._FilterDatabase">'Defender'!$A$4:$D$22</definedName>
    <definedName hidden="true" localSheetId="6" name="_xlnm._FilterDatabase">'OutOfScope'!$A$4:$K$12</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AEDFB"/>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false">
      <alignment/>
    </xf>
    <xf numFmtId="0" fontId="0" fillId="2" borderId="0" xfId="0" applyFill="true" applyAlignment="true">
      <alignment vertical="top" wrapText="true"/>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9" Target="worksheets/sheet7.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_rels/drawing2.xml.rels><?xml version="1.0" encoding="UTF-8"?>
<Relationships xmlns="http://schemas.openxmlformats.org/package/2006/relationships"><Relationship Id="rId1" Target="../media/image1.png" Type="http://schemas.openxmlformats.org/officeDocument/2006/relationships/image"></Relationship></Relationships>
</file>

<file path=xl/drawings/_rels/drawing3.xml.rels><?xml version="1.0" encoding="UTF-8"?>
<Relationships xmlns="http://schemas.openxmlformats.org/package/2006/relationships"><Relationship Id="rId1" Target="../media/image1.png" Type="http://schemas.openxmlformats.org/officeDocument/2006/relationships/image"></Relationship></Relationships>
</file>

<file path=xl/drawings/_rels/drawing4.xml.rels><?xml version="1.0" encoding="UTF-8"?>
<Relationships xmlns="http://schemas.openxmlformats.org/package/2006/relationships"><Relationship Id="rId1" Target="../media/image1.png" Type="http://schemas.openxmlformats.org/officeDocument/2006/relationships/image"></Relationship></Relationships>
</file>

<file path=xl/drawings/_rels/drawing5.xml.rels><?xml version="1.0" encoding="UTF-8"?>
<Relationships xmlns="http://schemas.openxmlformats.org/package/2006/relationships"><Relationship Id="rId1" Target="../media/image1.png" Type="http://schemas.openxmlformats.org/officeDocument/2006/relationships/image"></Relationship></Relationships>
</file>

<file path=xl/drawings/_rels/drawing6.xml.rels><?xml version="1.0" encoding="UTF-8"?>
<Relationships xmlns="http://schemas.openxmlformats.org/package/2006/relationships"><Relationship Id="rId1" Target="../media/image1.png" Type="http://schemas.openxmlformats.org/officeDocument/2006/relationships/image"></Relationship></Relationships>
</file>

<file path=xl/drawings/_rels/drawing7.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1</xdr:col>
      <xdr:colOff>390525</xdr:colOff>
      <xdr:row>2</xdr:row>
      <xdr:rowOff>76200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absolute">
    <xdr:from>
      <xdr:col>0</xdr:col>
      <xdr:colOff>0</xdr:colOff>
      <xdr:row>0</xdr:row>
      <xdr:rowOff>0</xdr:rowOff>
    </xdr:from>
    <xdr:to>
      <xdr:col>0</xdr:col>
      <xdr:colOff>1457325</xdr:colOff>
      <xdr:row>2</xdr:row>
      <xdr:rowOff>38100</xdr:rowOff>
    </xdr:to>
    <xdr:pic>
      <xdr:nvPicPr>
        <xdr:cNvPr id="2" name="Picture 2" descr="azqr logo"/>
        <xdr:cNvPicPr>
          <a:picLocks noChangeAspect="false"/>
        </xdr:cNvPicPr>
      </xdr:nvPicPr>
      <xdr:blipFill>
        <a:blip xmlns:r="http://schemas.openxmlformats.org/officeDocument/2006/relationships" r:embed="rId1"/>
        <a:stretch>
          <a:fillRect/>
        </a:stretch>
      </xdr:blipFill>
      <xdr:spPr>
        <a:xfrm>
          <a:off x="0" y="0"/>
          <a:ext cx="1457325" cy="419100"/>
        </a:xfrm>
        <a:prstGeom prst="rect"/>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7.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2" max="12" width="39" customWidth="1"/>
    <col min="11" max="11" width="120" customWidth="1"/>
    <col min="10" max="10" width="120" customWidth="1"/>
    <col min="9" max="9" width="9" customWidth="1"/>
    <col min="8" max="8" width="112" customWidth="1"/>
    <col min="7" max="7" width="30" customWidth="1"/>
    <col min="6" max="6" width="42" customWidth="1"/>
    <col min="5" max="5" width="49" customWidth="1"/>
    <col min="4" max="4" width="24" customWidth="1"/>
    <col min="3" max="3" width="35" customWidth="1"/>
    <col min="2" max="2" width="31" customWidth="1"/>
    <col min="1" max="1" width="14" customWidth="1"/>
  </cols>
  <sheetData>
    <row r="4" s="1" customFormat="1">
      <c r="A4" s="1" t="inlineStr">
        <is>
          <t>Implemented</t>
        </is>
      </c>
      <c r="B4" s="1" t="inlineStr">
        <is>
          <t>Number of Impacted Resources</t>
        </is>
      </c>
      <c r="C4" s="1" t="inlineStr">
        <is>
          <t>Azure Service / Well-Architected</t>
        </is>
      </c>
      <c r="D4" s="1" t="inlineStr">
        <is>
          <t>Recommendation Source</t>
        </is>
      </c>
      <c r="E4" s="1" t="inlineStr">
        <is>
          <t>Azure Service Category / Well-Architected Area</t>
        </is>
      </c>
      <c r="F4" s="1" t="inlineStr">
        <is>
          <t>Azure Service / Well-Architected Topic</t>
        </is>
      </c>
      <c r="G4" s="1" t="inlineStr">
        <is>
          <t>Category</t>
        </is>
      </c>
      <c r="H4" s="1" t="inlineStr">
        <is>
          <t>Recommendation</t>
        </is>
      </c>
      <c r="I4" s="1" t="inlineStr">
        <is>
          <t>Impact</t>
        </is>
      </c>
      <c r="J4" s="1" t="inlineStr">
        <is>
          <t>Best Practices Guidance</t>
        </is>
      </c>
      <c r="K4" s="1" t="inlineStr">
        <is>
          <t>Read More</t>
        </is>
      </c>
      <c r="L4" s="1" t="inlineStr">
        <is>
          <t>Recommendation Id</t>
        </is>
      </c>
    </row>
    <row r="5" s="3" customFormat="1">
      <c r="A5" s="3" t="inlineStr">
        <is>
          <t>N/A</t>
        </is>
      </c>
      <c r="B5" s="3" t="inlineStr">
        <is>
          <t>0</t>
        </is>
      </c>
      <c r="C5" s="3" t="inlineStr">
        <is>
          <t>Azure Service</t>
        </is>
      </c>
      <c r="D5" s="3" t="inlineStr">
        <is>
          <t>AZQR</t>
        </is>
      </c>
      <c r="E5" s="3" t="inlineStr">
        <is>
          <t>microsoft.containerservice</t>
        </is>
      </c>
      <c r="F5" s="3" t="inlineStr">
        <is>
          <t>managedclusters</t>
        </is>
      </c>
      <c r="G5" s="3" t="inlineStr">
        <is>
          <t>MonitoringAndAlerting</t>
        </is>
      </c>
      <c r="H5" s="3" t="inlineStr">
        <is>
          <t>AKS Cluster should have diagnostic settings enabled</t>
        </is>
      </c>
      <c r="I5" s="3" t="inlineStr">
        <is>
          <t>Low</t>
        </is>
      </c>
      <c r="J5" s="3" t="inlineStr">
        <is>
          <t/>
        </is>
      </c>
      <c r="K5" s="3" t="str">
        <f>HYPERLINK("https://learn.microsoft.com/en-us/azure/aks/monitor-aks#collect-resource-logs","https://learn.microsoft.com/en-us/azure/aks/monitor-aks#collect-resource-logs")</f>
      </c>
      <c r="L5" s="3" t="inlineStr">
        <is>
          <t>aks-001</t>
        </is>
      </c>
    </row>
    <row r="6" s="2" customFormat="1">
      <c r="A6" s="2" t="inlineStr">
        <is>
          <t>N/A</t>
        </is>
      </c>
      <c r="B6" s="2" t="inlineStr">
        <is>
          <t>0</t>
        </is>
      </c>
      <c r="C6" s="2" t="inlineStr">
        <is>
          <t>Azure Service</t>
        </is>
      </c>
      <c r="D6" s="2" t="inlineStr">
        <is>
          <t>APRL</t>
        </is>
      </c>
      <c r="E6" s="2" t="inlineStr">
        <is>
          <t>Microsoft.ContainerService</t>
        </is>
      </c>
      <c r="F6" s="2" t="inlineStr">
        <is>
          <t>managedClusters</t>
        </is>
      </c>
      <c r="G6" s="2" t="inlineStr">
        <is>
          <t>HighAvailability</t>
        </is>
      </c>
      <c r="H6" s="2" t="inlineStr">
        <is>
          <t>Deploy AKS cluster across availability zones</t>
        </is>
      </c>
      <c r="I6" s="2" t="inlineStr">
        <is>
          <t>High</t>
        </is>
      </c>
      <c r="J6" s="2" t="inlineStr">
        <is>
          <t xml:space="preserve">Azure Availability Zones ensure high availability by offering independent locations within regions, equipped with their own power, cooling, and networking to ensure applications and data are protected from datacenter-level failures.
</t>
        </is>
      </c>
      <c r="K6" s="2" t="str">
        <f>HYPERLINK("https://learn.microsoft.com/azure/aks/availability-zones","https://learn.microsoft.com/azure/aks/availability-zones")</f>
      </c>
      <c r="L6" s="2" t="inlineStr">
        <is>
          <t>4f63619f-5001-439c-bacb-8de891287727</t>
        </is>
      </c>
    </row>
    <row r="7" s="3" customFormat="1">
      <c r="A7" s="3" t="inlineStr">
        <is>
          <t>N/A</t>
        </is>
      </c>
      <c r="B7" s="3" t="inlineStr">
        <is>
          <t>0</t>
        </is>
      </c>
      <c r="C7" s="3" t="inlineStr">
        <is>
          <t>Azure Service</t>
        </is>
      </c>
      <c r="D7" s="3" t="inlineStr">
        <is>
          <t>AZQR</t>
        </is>
      </c>
      <c r="E7" s="3" t="inlineStr">
        <is>
          <t>Microsoft.ContainerService</t>
        </is>
      </c>
      <c r="F7" s="3" t="inlineStr">
        <is>
          <t>managedClusters</t>
        </is>
      </c>
      <c r="G7" s="3" t="inlineStr">
        <is>
          <t>Scalability</t>
        </is>
      </c>
      <c r="H7" s="3" t="inlineStr">
        <is>
          <t>AKS Node Pools should have MaxSurge set</t>
        </is>
      </c>
      <c r="I7" s="3" t="inlineStr">
        <is>
          <t>Low</t>
        </is>
      </c>
      <c r="J7" s="3" t="inlineStr">
        <is>
          <t>AKS Node Pools should have MaxSurge set</t>
        </is>
      </c>
      <c r="K7" s="3" t="str">
        <f>HYPERLINK("https://learn.microsoft.com/azure/aks/upgrade-aks-cluster","https://learn.microsoft.com/azure/aks/upgrade-aks-cluster")</f>
      </c>
      <c r="L7" s="3" t="inlineStr">
        <is>
          <t>aks-016</t>
        </is>
      </c>
    </row>
    <row r="8" s="2" customFormat="1">
      <c r="A8" s="2" t="inlineStr">
        <is>
          <t>N/A</t>
        </is>
      </c>
      <c r="B8" s="2" t="inlineStr">
        <is>
          <t>0</t>
        </is>
      </c>
      <c r="C8" s="2" t="inlineStr">
        <is>
          <t>Azure Service</t>
        </is>
      </c>
      <c r="D8" s="2" t="inlineStr">
        <is>
          <t>APRL</t>
        </is>
      </c>
      <c r="E8" s="2" t="inlineStr">
        <is>
          <t>Microsoft.ContainerService</t>
        </is>
      </c>
      <c r="F8" s="2" t="inlineStr">
        <is>
          <t>managedClusters</t>
        </is>
      </c>
      <c r="G8" s="2" t="inlineStr">
        <is>
          <t>DisasterRecovery</t>
        </is>
      </c>
      <c r="H8" s="2" t="inlineStr">
        <is>
          <t>Back up Azure Kubernetes Service</t>
        </is>
      </c>
      <c r="I8" s="2" t="inlineStr">
        <is>
          <t>Low</t>
        </is>
      </c>
      <c r="J8" s="2" t="inlineStr">
        <is>
          <t xml:space="preserve">AKS, popular for stateful apps needing backups, can now use Azure Backup to secure clusters and attached volumes through an installed Backup Extension, enabling backup and restore operations via a Backup Vault.
</t>
        </is>
      </c>
      <c r="K8" s="2" t="str">
        <f>HYPERLINK("https://learn.microsoft.com/azure/backup/azure-kubernetes-service-cluster-backup","https://learn.microsoft.com/azure/backup/azure-kubernetes-service-cluster-backup")</f>
      </c>
      <c r="L8" s="2" t="inlineStr">
        <is>
          <t>269a9f1a-6675-460a-831e-b05a887a8c4b</t>
        </is>
      </c>
    </row>
    <row r="9" s="3" customFormat="1">
      <c r="A9" s="3" t="inlineStr">
        <is>
          <t>N/A</t>
        </is>
      </c>
      <c r="B9" s="3" t="inlineStr">
        <is>
          <t>0</t>
        </is>
      </c>
      <c r="C9" s="3" t="inlineStr">
        <is>
          <t>Azure Service</t>
        </is>
      </c>
      <c r="D9" s="3" t="inlineStr">
        <is>
          <t>APRL</t>
        </is>
      </c>
      <c r="E9" s="3" t="inlineStr">
        <is>
          <t>Microsoft.ContainerService</t>
        </is>
      </c>
      <c r="F9" s="3" t="inlineStr">
        <is>
          <t>managedClusters</t>
        </is>
      </c>
      <c r="G9" s="3" t="inlineStr">
        <is>
          <t>Scalability</t>
        </is>
      </c>
      <c r="H9" s="3" t="inlineStr">
        <is>
          <t>Enable the cluster auto-scaler on an existing cluster</t>
        </is>
      </c>
      <c r="I9" s="3" t="inlineStr">
        <is>
          <t>High</t>
        </is>
      </c>
      <c r="J9" s="3" t="inlineStr">
        <is>
          <t xml:space="preserve">The cluster auto-scaler in AKS adjusts node counts based on pod resource needs and available capacity, enabling scaling as per demand to prevent outages.
</t>
        </is>
      </c>
      <c r="K9" s="3" t="str">
        <f>HYPERLINK("https://learn.microsoft.com/azure/aks/cluster-autoscaler?tabs=azure-cli","https://learn.microsoft.com/azure/aks/cluster-autoscaler?tabs=azure-cli")</f>
      </c>
      <c r="L9" s="3" t="inlineStr">
        <is>
          <t>902c82ff-4910-4b61-942d-0d6ef7f39b67</t>
        </is>
      </c>
    </row>
    <row r="10" s="2" customFormat="1">
      <c r="A10" s="2" t="inlineStr">
        <is>
          <t>N/A</t>
        </is>
      </c>
      <c r="B10" s="2" t="inlineStr">
        <is>
          <t>0</t>
        </is>
      </c>
      <c r="C10" s="2" t="inlineStr">
        <is>
          <t>Azure Service</t>
        </is>
      </c>
      <c r="D10" s="2" t="inlineStr">
        <is>
          <t>AZQR</t>
        </is>
      </c>
      <c r="E10" s="2" t="inlineStr">
        <is>
          <t>Microsoft.ContainerService</t>
        </is>
      </c>
      <c r="F10" s="2" t="inlineStr">
        <is>
          <t>managedClusters</t>
        </is>
      </c>
      <c r="G10" s="2" t="inlineStr">
        <is>
          <t>Security</t>
        </is>
      </c>
      <c r="H10" s="2" t="inlineStr">
        <is>
          <t>AKS Cluster should be private</t>
        </is>
      </c>
      <c r="I10" s="2" t="inlineStr">
        <is>
          <t>High</t>
        </is>
      </c>
      <c r="J10" s="2" t="inlineStr">
        <is>
          <t>AKS Cluster should be private</t>
        </is>
      </c>
      <c r="K10" s="2" t="str">
        <f>HYPERLINK("https://learn.microsoft.com/azure/aks/private-clusters","https://learn.microsoft.com/azure/aks/private-clusters")</f>
      </c>
      <c r="L10" s="2" t="inlineStr">
        <is>
          <t>aks-004</t>
        </is>
      </c>
    </row>
    <row r="11" s="3" customFormat="1">
      <c r="A11" s="3" t="inlineStr">
        <is>
          <t>N/A</t>
        </is>
      </c>
      <c r="B11" s="3" t="inlineStr">
        <is>
          <t>0</t>
        </is>
      </c>
      <c r="C11" s="3" t="inlineStr">
        <is>
          <t>Azure Service</t>
        </is>
      </c>
      <c r="D11" s="3" t="inlineStr">
        <is>
          <t>AZQR</t>
        </is>
      </c>
      <c r="E11" s="3" t="inlineStr">
        <is>
          <t>Microsoft.ContainerService</t>
        </is>
      </c>
      <c r="F11" s="3" t="inlineStr">
        <is>
          <t>managedClusters</t>
        </is>
      </c>
      <c r="G11" s="3" t="inlineStr">
        <is>
          <t>Security</t>
        </is>
      </c>
      <c r="H11" s="3" t="inlineStr">
        <is>
          <t>AKS should have httpApplicationRouting disabled</t>
        </is>
      </c>
      <c r="I11" s="3" t="inlineStr">
        <is>
          <t>Medium</t>
        </is>
      </c>
      <c r="J11" s="3" t="inlineStr">
        <is>
          <t>AKS should have httpApplicationRouting disabled</t>
        </is>
      </c>
      <c r="K11" s="3" t="str">
        <f>HYPERLINK("https://learn.microsoft.com/azure/aks/http-application-routing","https://learn.microsoft.com/azure/aks/http-application-routing")</f>
      </c>
      <c r="L11" s="3" t="inlineStr">
        <is>
          <t>aks-010</t>
        </is>
      </c>
    </row>
    <row r="12" s="2" customFormat="1">
      <c r="A12" s="2" t="inlineStr">
        <is>
          <t>N/A</t>
        </is>
      </c>
      <c r="B12" s="2" t="inlineStr">
        <is>
          <t>0</t>
        </is>
      </c>
      <c r="C12" s="2" t="inlineStr">
        <is>
          <t>Azure Service</t>
        </is>
      </c>
      <c r="D12" s="2" t="inlineStr">
        <is>
          <t>APRL</t>
        </is>
      </c>
      <c r="E12" s="2" t="inlineStr">
        <is>
          <t>Microsoft.ContainerService</t>
        </is>
      </c>
      <c r="F12" s="2" t="inlineStr">
        <is>
          <t>managedClusters</t>
        </is>
      </c>
      <c r="G12" s="2" t="inlineStr">
        <is>
          <t>HighAvailability</t>
        </is>
      </c>
      <c r="H12" s="2" t="inlineStr">
        <is>
          <t>Configure user nodepool count</t>
        </is>
      </c>
      <c r="I12" s="2" t="inlineStr">
        <is>
          <t>High</t>
        </is>
      </c>
      <c r="J12" s="2" t="inlineStr">
        <is>
          <t xml:space="preserve">Configuring the user node pool with at least two nodes is essential for applications needing high availability, ensuring they remain operational and accessible without interruption.
</t>
        </is>
      </c>
      <c r="K12" s="2" t="str">
        <f>HYPERLINK("https://learn.microsoft.com/azure/well-architected/service-guides/azure-kubernetes-service#design-checklist","https://learn.microsoft.com/azure/well-architected/service-guides/azure-kubernetes-service#design-checklist")</f>
      </c>
      <c r="L12" s="2" t="inlineStr">
        <is>
          <t>005ccbbd-aeab-46ef-80bd-9bd4479412ec</t>
        </is>
      </c>
    </row>
    <row r="13" s="3" customFormat="1">
      <c r="A13" s="3" t="inlineStr">
        <is>
          <t>N/A</t>
        </is>
      </c>
      <c r="B13" s="3" t="inlineStr">
        <is>
          <t>0</t>
        </is>
      </c>
      <c r="C13" s="3" t="inlineStr">
        <is>
          <t>Azure Service</t>
        </is>
      </c>
      <c r="D13" s="3" t="inlineStr">
        <is>
          <t>APRL</t>
        </is>
      </c>
      <c r="E13" s="3" t="inlineStr">
        <is>
          <t>Microsoft.ContainerService</t>
        </is>
      </c>
      <c r="F13" s="3" t="inlineStr">
        <is>
          <t>managedClusters</t>
        </is>
      </c>
      <c r="G13" s="3" t="inlineStr">
        <is>
          <t>HighAvailability</t>
        </is>
      </c>
      <c r="H13" s="3" t="inlineStr">
        <is>
          <t>Isolate system and application pods</t>
        </is>
      </c>
      <c r="I13" s="3" t="inlineStr">
        <is>
          <t>High</t>
        </is>
      </c>
      <c r="J13" s="3" t="inlineStr">
        <is>
          <t xml:space="preserve">AKS assigns the kubernetes.azure.com/mode: system label to nodes in system node pools signaling the preference for system pods should be scheduled there. The CriticalAddonsOnly=true:NoSchedule taint can be added to your system nodes to prohibit application pods from being scheduled on them.
</t>
        </is>
      </c>
      <c r="K13" s="3" t="str">
        <f>HYPERLINK("https://learn.microsoft.com/azure/aks/use-system-pools?tabs=azure-cli#system-and-user-node-pools","https://learn.microsoft.com/azure/aks/use-system-pools?tabs=azure-cli#system-and-user-node-pools")</f>
      </c>
      <c r="L13" s="3" t="inlineStr">
        <is>
          <t>5ee083cd-6ac3-4a83-8913-9549dd36cf56</t>
        </is>
      </c>
    </row>
    <row r="14" s="2" customFormat="1">
      <c r="A14" s="2" t="inlineStr">
        <is>
          <t>N/A</t>
        </is>
      </c>
      <c r="B14" s="2" t="inlineStr">
        <is>
          <t>0</t>
        </is>
      </c>
      <c r="C14" s="2" t="inlineStr">
        <is>
          <t>Azure Service</t>
        </is>
      </c>
      <c r="D14" s="2" t="inlineStr">
        <is>
          <t>AZQR</t>
        </is>
      </c>
      <c r="E14" s="2" t="inlineStr">
        <is>
          <t>Microsoft.ContainerService</t>
        </is>
      </c>
      <c r="F14" s="2" t="inlineStr">
        <is>
          <t>managedClusters</t>
        </is>
      </c>
      <c r="G14" s="2" t="inlineStr">
        <is>
          <t>Security</t>
        </is>
      </c>
      <c r="H14" s="2" t="inlineStr">
        <is>
          <t>AKS should integrate authentication with AAD (Managed)</t>
        </is>
      </c>
      <c r="I14" s="2" t="inlineStr">
        <is>
          <t>Medium</t>
        </is>
      </c>
      <c r="J14" s="2" t="inlineStr">
        <is>
          <t>AKS should integrate authentication with AAD (Managed)</t>
        </is>
      </c>
      <c r="K14" s="2" t="str">
        <f>HYPERLINK("https://learn.microsoft.com/azure/aks/managed-azure-ad","https://learn.microsoft.com/azure/aks/managed-azure-ad")</f>
      </c>
      <c r="L14" s="2" t="inlineStr">
        <is>
          <t>aks-007</t>
        </is>
      </c>
    </row>
    <row r="15" s="3" customFormat="1">
      <c r="A15" s="3" t="inlineStr">
        <is>
          <t>N/A</t>
        </is>
      </c>
      <c r="B15" s="3" t="inlineStr">
        <is>
          <t>0</t>
        </is>
      </c>
      <c r="C15" s="3" t="inlineStr">
        <is>
          <t>Azure Service</t>
        </is>
      </c>
      <c r="D15" s="3" t="inlineStr">
        <is>
          <t>AZQR</t>
        </is>
      </c>
      <c r="E15" s="3" t="inlineStr">
        <is>
          <t>Microsoft.ContainerService</t>
        </is>
      </c>
      <c r="F15" s="3" t="inlineStr">
        <is>
          <t>managedClusters</t>
        </is>
      </c>
      <c r="G15" s="3" t="inlineStr">
        <is>
          <t>Security</t>
        </is>
      </c>
      <c r="H15" s="3" t="inlineStr">
        <is>
          <t>AKS should have outbound type set to user defined routing</t>
        </is>
      </c>
      <c r="I15" s="3" t="inlineStr">
        <is>
          <t>High</t>
        </is>
      </c>
      <c r="J15" s="3" t="inlineStr">
        <is>
          <t>AKS should have outbound type set to user defined routing</t>
        </is>
      </c>
      <c r="K15" s="3" t="str">
        <f>HYPERLINK("https://learn.microsoft.com/azure/aks/limit-egress-traffic","https://learn.microsoft.com/azure/aks/limit-egress-traffic")</f>
      </c>
      <c r="L15" s="3" t="inlineStr">
        <is>
          <t>aks-012</t>
        </is>
      </c>
    </row>
    <row r="16" s="2" customFormat="1">
      <c r="A16" s="2" t="inlineStr">
        <is>
          <t>N/A</t>
        </is>
      </c>
      <c r="B16" s="2" t="inlineStr">
        <is>
          <t>0</t>
        </is>
      </c>
      <c r="C16" s="2" t="inlineStr">
        <is>
          <t>Azure Service</t>
        </is>
      </c>
      <c r="D16" s="2" t="inlineStr">
        <is>
          <t>APRL</t>
        </is>
      </c>
      <c r="E16" s="2" t="inlineStr">
        <is>
          <t>Microsoft.ContainerService</t>
        </is>
      </c>
      <c r="F16" s="2" t="inlineStr">
        <is>
          <t>managedClusters</t>
        </is>
      </c>
      <c r="G16" s="2" t="inlineStr">
        <is>
          <t>HighAvailability</t>
        </is>
      </c>
      <c r="H16" s="2" t="inlineStr">
        <is>
          <t>Update AKS tier to Standard or Premium</t>
        </is>
      </c>
      <c r="I16" s="2" t="inlineStr">
        <is>
          <t>High</t>
        </is>
      </c>
      <c r="J16" s="2" t="inlineStr">
        <is>
          <t xml:space="preserve">Production AKS clusters require the Standard or Premium tier for a financially backed SLA and enhanced node scalability, as the free service lacks these features. Use the Premium tier for mission-critical workloads.
</t>
        </is>
      </c>
      <c r="K16" s="2" t="str">
        <f>HYPERLINK("https://learn.microsoft.com/azure/aks/free-standard-pricing-tiers","https://learn.microsoft.com/azure/aks/free-standard-pricing-tiers")</f>
      </c>
      <c r="L16" s="2" t="inlineStr">
        <is>
          <t>0611251f-e70f-4243-8ddd-cfe894bec2e7</t>
        </is>
      </c>
    </row>
    <row r="17" s="3" customFormat="1">
      <c r="A17" s="3" t="inlineStr">
        <is>
          <t>N/A</t>
        </is>
      </c>
      <c r="B17" s="3" t="inlineStr">
        <is>
          <t>0</t>
        </is>
      </c>
      <c r="C17" s="3" t="inlineStr">
        <is>
          <t>Azure Service</t>
        </is>
      </c>
      <c r="D17" s="3" t="inlineStr">
        <is>
          <t>APRL</t>
        </is>
      </c>
      <c r="E17" s="3" t="inlineStr">
        <is>
          <t>Microsoft.ContainerService</t>
        </is>
      </c>
      <c r="F17" s="3" t="inlineStr">
        <is>
          <t>managedClusters</t>
        </is>
      </c>
      <c r="G17" s="3" t="inlineStr">
        <is>
          <t>Scalability</t>
        </is>
      </c>
      <c r="H17" s="3" t="inlineStr">
        <is>
          <t>Configure Azure CNI networking for dynamic allocation of IPs or use CNI overlay</t>
        </is>
      </c>
      <c r="I17" s="3" t="inlineStr">
        <is>
          <t>Medium</t>
        </is>
      </c>
      <c r="J17" s="3" t="inlineStr">
        <is>
          <t xml:space="preserve">Azure CNI enhances cluster IP and network management, allowing dynamic IP allocation, scalable subnets, direct pod-VNET connectivity, and supports diverse network policies for pods and nodes with Azure Network Policies and Calico, optimizing network efficiency and security
</t>
        </is>
      </c>
      <c r="K17" s="3" t="str">
        <f>HYPERLINK("https://learn.microsoft.com/azure/aks/configure-azure-cni-dynamic-ip-allocation","https://learn.microsoft.com/azure/aks/configure-azure-cni-dynamic-ip-allocation")</f>
      </c>
      <c r="L17" s="3" t="inlineStr">
        <is>
          <t>c22db132-399b-4e7c-995d-577a60881be8</t>
        </is>
      </c>
    </row>
    <row r="18" s="2" customFormat="1">
      <c r="A18" s="2" t="inlineStr">
        <is>
          <t>N/A</t>
        </is>
      </c>
      <c r="B18" s="2" t="inlineStr">
        <is>
          <t>0</t>
        </is>
      </c>
      <c r="C18" s="2" t="inlineStr">
        <is>
          <t>Azure Service</t>
        </is>
      </c>
      <c r="D18" s="2" t="inlineStr">
        <is>
          <t>APRL</t>
        </is>
      </c>
      <c r="E18" s="2" t="inlineStr">
        <is>
          <t>Microsoft.ContainerService</t>
        </is>
      </c>
      <c r="F18" s="2" t="inlineStr">
        <is>
          <t>managedClusters</t>
        </is>
      </c>
      <c r="G18" s="2" t="inlineStr">
        <is>
          <t>OtherBestPractices</t>
        </is>
      </c>
      <c r="H18" s="2" t="inlineStr">
        <is>
          <t>Upgrade Persistent Volumes using in-tree drivers to Azure CSI drivers</t>
        </is>
      </c>
      <c r="I18" s="2" t="inlineStr">
        <is>
          <t>High</t>
        </is>
      </c>
      <c r="J18" s="2" t="inlineStr">
        <is>
          <t xml:space="preserve">From Kubernetes 1.26, Azure Disk and Azure File in-tree drivers are deprecated in favor of CSI drivers. Existing deployments remain operational but untested; users should switch to CSI drivers for new features and SKUs.
</t>
        </is>
      </c>
      <c r="K18" s="2" t="str">
        <f>HYPERLINK("https://learn.microsoft.com/azure/aks/csi-storage-drivers","https://learn.microsoft.com/azure/aks/csi-storage-drivers")</f>
      </c>
      <c r="L18" s="2" t="inlineStr">
        <is>
          <t>b002c030-72e6-4a37-8217-1cb276c43169</t>
        </is>
      </c>
    </row>
    <row r="19" s="3" customFormat="1">
      <c r="A19" s="3" t="inlineStr">
        <is>
          <t>N/A</t>
        </is>
      </c>
      <c r="B19" s="3" t="inlineStr">
        <is>
          <t>0</t>
        </is>
      </c>
      <c r="C19" s="3" t="inlineStr">
        <is>
          <t>Azure Service</t>
        </is>
      </c>
      <c r="D19" s="3" t="inlineStr">
        <is>
          <t>APRL</t>
        </is>
      </c>
      <c r="E19" s="3" t="inlineStr">
        <is>
          <t>Microsoft.ContainerService</t>
        </is>
      </c>
      <c r="F19" s="3" t="inlineStr">
        <is>
          <t>managedClusters</t>
        </is>
      </c>
      <c r="G19" s="3" t="inlineStr">
        <is>
          <t>HighAvailability</t>
        </is>
      </c>
      <c r="H19" s="3" t="inlineStr">
        <is>
          <t>Configure system nodepool count</t>
        </is>
      </c>
      <c r="I19" s="3" t="inlineStr">
        <is>
          <t>High</t>
        </is>
      </c>
      <c r="J19" s="3" t="inlineStr">
        <is>
          <t xml:space="preserve">The system node pool should be configured with a minimum node count of three to ensure critical system pods are resilient to node outages.
</t>
        </is>
      </c>
      <c r="K19" s="3" t="str">
        <f>HYPERLINK("https://learn.microsoft.com/azure/aks/use-system-pools?tabs=azure-cli","https://learn.microsoft.com/azure/aks/use-system-pools?tabs=azure-cli")</f>
      </c>
      <c r="L19" s="3" t="inlineStr">
        <is>
          <t>7f7ae535-a5ba-4665-b7e0-c451dbdda01f</t>
        </is>
      </c>
    </row>
    <row r="20" s="2" customFormat="1">
      <c r="A20" s="2" t="inlineStr">
        <is>
          <t>N/A</t>
        </is>
      </c>
      <c r="B20" s="2" t="inlineStr">
        <is>
          <t>0</t>
        </is>
      </c>
      <c r="C20" s="2" t="inlineStr">
        <is>
          <t>Azure Service</t>
        </is>
      </c>
      <c r="D20" s="2" t="inlineStr">
        <is>
          <t>APRL</t>
        </is>
      </c>
      <c r="E20" s="2" t="inlineStr">
        <is>
          <t>Microsoft.ContainerService</t>
        </is>
      </c>
      <c r="F20" s="2" t="inlineStr">
        <is>
          <t>managedClusters</t>
        </is>
      </c>
      <c r="G20" s="2" t="inlineStr">
        <is>
          <t>MonitoringAndAlerting</t>
        </is>
      </c>
      <c r="H20" s="2" t="inlineStr">
        <is>
          <t>Enable AKS Monitoring</t>
        </is>
      </c>
      <c r="I20" s="2" t="inlineStr">
        <is>
          <t>High</t>
        </is>
      </c>
      <c r="J20" s="2" t="inlineStr">
        <is>
          <t xml:space="preserve">Azure Monitor enables real-time health and performance insights for AKS by collecting events, capturing container logs, and gathering CPU/Memory data from the Metrics API. It allows data visualization using Azure Monitor Container Insights, Prometheus, Grafana, or others.
</t>
        </is>
      </c>
      <c r="K20" s="2" t="str">
        <f>HYPERLINK("https://learn.microsoft.com/azure/aks/monitor-aks","https://learn.microsoft.com/azure/aks/monitor-aks")</f>
      </c>
      <c r="L20" s="2" t="inlineStr">
        <is>
          <t>dcaf8128-94bd-4d53-9235-3a0371df6b74</t>
        </is>
      </c>
    </row>
    <row r="21" s="3" customFormat="1">
      <c r="A21" s="3" t="inlineStr">
        <is>
          <t>N/A</t>
        </is>
      </c>
      <c r="B21" s="3" t="inlineStr">
        <is>
          <t>0</t>
        </is>
      </c>
      <c r="C21" s="3" t="inlineStr">
        <is>
          <t>Azure Service</t>
        </is>
      </c>
      <c r="D21" s="3" t="inlineStr">
        <is>
          <t>APRL</t>
        </is>
      </c>
      <c r="E21" s="3" t="inlineStr">
        <is>
          <t>Microsoft.Network</t>
        </is>
      </c>
      <c r="F21" s="3" t="inlineStr">
        <is>
          <t>vpnSites</t>
        </is>
      </c>
      <c r="G21" s="3" t="inlineStr">
        <is>
          <t>DisasterRecovery</t>
        </is>
      </c>
      <c r="H21" s="3" t="inlineStr">
        <is>
          <t>Configure diverse VPN Site links to different VPN concentrators on-premises</t>
        </is>
      </c>
      <c r="I21" s="3" t="inlineStr">
        <is>
          <t>Medium</t>
        </is>
      </c>
      <c r="J21" s="3" t="inlineStr">
        <is>
          <t xml:space="preserve">Deploying active-active VPN concentrators leverages the High Availability capabilities of the VPN Gateway on Virtual Hubs using a fully-meshed topology with four IPSec tunnels.
</t>
        </is>
      </c>
      <c r="K21" s="3" t="str">
        <f>HYPERLINK("https://learn.microsoft.com/azure/virtual-wan/disaster-recovery-design#multi-link-topology","https://learn.microsoft.com/azure/virtual-wan/disaster-recovery-design#multi-link-topology")</f>
      </c>
      <c r="L21" s="3" t="inlineStr">
        <is>
          <t>02bdbdb8-d138-4090-951c-23e45b8700f7</t>
        </is>
      </c>
    </row>
    <row r="22" s="2" customFormat="1">
      <c r="A22" s="2" t="inlineStr">
        <is>
          <t>N/A</t>
        </is>
      </c>
      <c r="B22" s="2" t="inlineStr">
        <is>
          <t>0</t>
        </is>
      </c>
      <c r="C22" s="2" t="inlineStr">
        <is>
          <t>Azure Service</t>
        </is>
      </c>
      <c r="D22" s="2" t="inlineStr">
        <is>
          <t>APRL</t>
        </is>
      </c>
      <c r="E22" s="2" t="inlineStr">
        <is>
          <t>Microsoft.App</t>
        </is>
      </c>
      <c r="F22" s="2" t="inlineStr">
        <is>
          <t>managedenvironments</t>
        </is>
      </c>
      <c r="G22" s="2" t="inlineStr">
        <is>
          <t>HighAvailability</t>
        </is>
      </c>
      <c r="H22" s="2" t="inlineStr">
        <is>
          <t>Deploy zone redundant Container app environments</t>
        </is>
      </c>
      <c r="I22" s="2" t="inlineStr">
        <is>
          <t>High</t>
        </is>
      </c>
      <c r="J22" s="2" t="inlineStr">
        <is>
          <t xml:space="preserve">To take advantage of availability zones, you must enable zone redundancy when you create a Container Apps environment. The environment must include a virtual network with an available subnet. To ensure proper distribution of replicas, set your app's minimum replica count to three.
</t>
        </is>
      </c>
      <c r="K22" s="2" t="str">
        <f>HYPERLINK("https://learn.microsoft.com/azure/reliability/reliability-azure-container-apps","https://learn.microsoft.com/azure/reliability/reliability-azure-container-apps")</f>
      </c>
      <c r="L22" s="2" t="inlineStr">
        <is>
          <t>f4201965-a88d-449d-b3b4-021394719eb2</t>
        </is>
      </c>
    </row>
    <row r="23" s="3" customFormat="1">
      <c r="A23" s="3" t="inlineStr">
        <is>
          <t>N/A</t>
        </is>
      </c>
      <c r="B23" s="3" t="inlineStr">
        <is>
          <t>0</t>
        </is>
      </c>
      <c r="C23" s="3" t="inlineStr">
        <is>
          <t>Azure Service</t>
        </is>
      </c>
      <c r="D23" s="3" t="inlineStr">
        <is>
          <t>AZQR</t>
        </is>
      </c>
      <c r="E23" s="3" t="inlineStr">
        <is>
          <t>Microsoft.App</t>
        </is>
      </c>
      <c r="F23" s="3" t="inlineStr">
        <is>
          <t>managedenvironments</t>
        </is>
      </c>
      <c r="G23" s="3" t="inlineStr">
        <is>
          <t>Security</t>
        </is>
      </c>
      <c r="H23" s="3" t="inlineStr">
        <is>
          <t>Container Apps Environment should have private endpoints enabled</t>
        </is>
      </c>
      <c r="I23" s="3" t="inlineStr">
        <is>
          <t>High</t>
        </is>
      </c>
      <c r="J23" s="3" t="inlineStr">
        <is>
          <t>Container Apps Environment should have private endpoints enabled</t>
        </is>
      </c>
      <c r="K23" s="3" t="str">
        <f>HYPERLINK("https://learn.microsoft.com/azure/container-apps/networking","https://learn.microsoft.com/azure/container-apps/networking")</f>
      </c>
      <c r="L23" s="3" t="inlineStr">
        <is>
          <t>cae-004</t>
        </is>
      </c>
    </row>
    <row r="24" s="2" customFormat="1">
      <c r="A24" s="2" t="inlineStr">
        <is>
          <t>N/A</t>
        </is>
      </c>
      <c r="B24" s="2" t="inlineStr">
        <is>
          <t>0</t>
        </is>
      </c>
      <c r="C24" s="2" t="inlineStr">
        <is>
          <t>Azure Service</t>
        </is>
      </c>
      <c r="D24" s="2" t="inlineStr">
        <is>
          <t>AZQR</t>
        </is>
      </c>
      <c r="E24" s="2" t="inlineStr">
        <is>
          <t>microsoft.app</t>
        </is>
      </c>
      <c r="F24" s="2" t="inlineStr">
        <is>
          <t>managedenvironments</t>
        </is>
      </c>
      <c r="G24" s="2" t="inlineStr">
        <is>
          <t>MonitoringAndAlerting</t>
        </is>
      </c>
      <c r="H24" s="2" t="inlineStr">
        <is>
          <t>Container Apps Environment should have diagnostic settings enabled</t>
        </is>
      </c>
      <c r="I24" s="2" t="inlineStr">
        <is>
          <t>Low</t>
        </is>
      </c>
      <c r="J24" s="2" t="inlineStr">
        <is>
          <t/>
        </is>
      </c>
      <c r="K24" s="2" t="str">
        <f>HYPERLINK("https://learn.microsoft.com/en-us/azure/container-apps/log-options#diagnostic-settings","https://learn.microsoft.com/en-us/azure/container-apps/log-options#diagnostic-settings")</f>
      </c>
      <c r="L24" s="2" t="inlineStr">
        <is>
          <t>cae-001</t>
        </is>
      </c>
    </row>
    <row r="25" s="3" customFormat="1">
      <c r="A25" s="3" t="inlineStr">
        <is>
          <t>N/A</t>
        </is>
      </c>
      <c r="B25" s="3" t="inlineStr">
        <is>
          <t>0</t>
        </is>
      </c>
      <c r="C25" s="3" t="inlineStr">
        <is>
          <t>Azure Service</t>
        </is>
      </c>
      <c r="D25" s="3" t="inlineStr">
        <is>
          <t>AZQR</t>
        </is>
      </c>
      <c r="E25" s="3" t="inlineStr">
        <is>
          <t>Microsoft.Databricks</t>
        </is>
      </c>
      <c r="F25" s="3" t="inlineStr">
        <is>
          <t>workspaces</t>
        </is>
      </c>
      <c r="G25" s="3" t="inlineStr">
        <is>
          <t>Security</t>
        </is>
      </c>
      <c r="H25" s="3" t="inlineStr">
        <is>
          <t>Azure Databricks should have private endpoints enabled</t>
        </is>
      </c>
      <c r="I25" s="3" t="inlineStr">
        <is>
          <t>High</t>
        </is>
      </c>
      <c r="J25" s="3" t="inlineStr">
        <is>
          <t>Azure Databricks should have private endpoints enabled</t>
        </is>
      </c>
      <c r="K25" s="3" t="str">
        <f>HYPERLINK("https://learn.microsoft.com/azure/databricks/security/network/classic/private-link","https://learn.microsoft.com/azure/databricks/security/network/classic/private-link")</f>
      </c>
      <c r="L25" s="3" t="inlineStr">
        <is>
          <t>dbw-004</t>
        </is>
      </c>
    </row>
    <row r="26" s="2" customFormat="1">
      <c r="A26" s="2" t="inlineStr">
        <is>
          <t>N/A</t>
        </is>
      </c>
      <c r="B26" s="2" t="inlineStr">
        <is>
          <t>0</t>
        </is>
      </c>
      <c r="C26" s="2" t="inlineStr">
        <is>
          <t>Azure Service</t>
        </is>
      </c>
      <c r="D26" s="2" t="inlineStr">
        <is>
          <t>AZQR</t>
        </is>
      </c>
      <c r="E26" s="2" t="inlineStr">
        <is>
          <t>Microsoft.Databricks</t>
        </is>
      </c>
      <c r="F26" s="2" t="inlineStr">
        <is>
          <t>workspaces</t>
        </is>
      </c>
      <c r="G26" s="2" t="inlineStr">
        <is>
          <t>Security</t>
        </is>
      </c>
      <c r="H26" s="2" t="inlineStr">
        <is>
          <t>Azure Databricks should have the Public IP disabled</t>
        </is>
      </c>
      <c r="I26" s="2" t="inlineStr">
        <is>
          <t>Medium</t>
        </is>
      </c>
      <c r="J26" s="2" t="inlineStr">
        <is>
          <t>Azure Databricks should have the Public IP disabled</t>
        </is>
      </c>
      <c r="K26" s="2" t="str">
        <f>HYPERLINK("https://learn.microsoft.com/azure/databricks/security/network/classic/secure-cluster-connectivity","https://learn.microsoft.com/azure/databricks/security/network/classic/secure-cluster-connectivity")</f>
      </c>
      <c r="L26" s="2" t="inlineStr">
        <is>
          <t>dbw-007</t>
        </is>
      </c>
    </row>
    <row r="27" s="3" customFormat="1">
      <c r="A27" s="3" t="inlineStr">
        <is>
          <t>N/A</t>
        </is>
      </c>
      <c r="B27" s="3" t="inlineStr">
        <is>
          <t>0</t>
        </is>
      </c>
      <c r="C27" s="3" t="inlineStr">
        <is>
          <t>Azure Service</t>
        </is>
      </c>
      <c r="D27" s="3" t="inlineStr">
        <is>
          <t>AZQR</t>
        </is>
      </c>
      <c r="E27" s="3" t="inlineStr">
        <is>
          <t>microsoft.databricks</t>
        </is>
      </c>
      <c r="F27" s="3" t="inlineStr">
        <is>
          <t>workspaces</t>
        </is>
      </c>
      <c r="G27" s="3" t="inlineStr">
        <is>
          <t>MonitoringAndAlerting</t>
        </is>
      </c>
      <c r="H27" s="3" t="inlineStr">
        <is>
          <t>Azure Databricks should have diagnostic settings enabled</t>
        </is>
      </c>
      <c r="I27" s="3" t="inlineStr">
        <is>
          <t>Low</t>
        </is>
      </c>
      <c r="J27" s="3" t="inlineStr">
        <is>
          <t/>
        </is>
      </c>
      <c r="K27" s="3" t="str">
        <f>HYPERLINK("https://learn.microsoft.com/en-us/azure/databricks/administration-guide/account-settings/audit-log-delivery","https://learn.microsoft.com/en-us/azure/databricks/administration-guide/account-settings/audit-log-delivery")</f>
      </c>
      <c r="L27" s="3" t="inlineStr">
        <is>
          <t>dbw-001</t>
        </is>
      </c>
    </row>
    <row r="28" s="2" customFormat="1">
      <c r="A28" s="2" t="inlineStr">
        <is>
          <t>N/A</t>
        </is>
      </c>
      <c r="B28" s="2" t="inlineStr">
        <is>
          <t>0</t>
        </is>
      </c>
      <c r="C28" s="2" t="inlineStr">
        <is>
          <t>Azure Service</t>
        </is>
      </c>
      <c r="D28" s="2" t="inlineStr">
        <is>
          <t>APRL</t>
        </is>
      </c>
      <c r="E28" s="2" t="inlineStr">
        <is>
          <t>Microsoft.Network</t>
        </is>
      </c>
      <c r="F28" s="2" t="inlineStr">
        <is>
          <t>publicIPAddresses</t>
        </is>
      </c>
      <c r="G28" s="2" t="inlineStr">
        <is>
          <t>HighAvailability</t>
        </is>
      </c>
      <c r="H28" s="2" t="inlineStr">
        <is>
          <t>Use Standard SKU and Zone-Redundant IPs when applicable</t>
        </is>
      </c>
      <c r="I28" s="2" t="inlineStr">
        <is>
          <t>High</t>
        </is>
      </c>
      <c r="J28" s="2" t="inlineStr">
        <is>
          <t xml:space="preserve">Public IP addresses in Azure can be of standard SKU, available as non-zonal, zonal, or zone-redundant. Zone-redundant IPs are accessible across all zones, resisting any single zone failure, thereby providing higher resilience.
</t>
        </is>
      </c>
      <c r="K28" s="2" t="str">
        <f>HYPERLINK("https://learn.microsoft.com/azure/virtual-network/ip-services/public-ip-addresses#availability-zone","https://learn.microsoft.com/azure/virtual-network/ip-services/public-ip-addresses#availability-zone")</f>
      </c>
      <c r="L28" s="2" t="inlineStr">
        <is>
          <t>c63b81fb-7afc-894c-a840-91bb8a8dcfaf</t>
        </is>
      </c>
    </row>
    <row r="29" s="3" customFormat="1">
      <c r="A29" s="3" t="inlineStr">
        <is>
          <t>N/A</t>
        </is>
      </c>
      <c r="B29" s="3" t="inlineStr">
        <is>
          <t>0</t>
        </is>
      </c>
      <c r="C29" s="3" t="inlineStr">
        <is>
          <t>Azure Service</t>
        </is>
      </c>
      <c r="D29" s="3" t="inlineStr">
        <is>
          <t>APRL</t>
        </is>
      </c>
      <c r="E29" s="3" t="inlineStr">
        <is>
          <t>Microsoft.Network</t>
        </is>
      </c>
      <c r="F29" s="3" t="inlineStr">
        <is>
          <t>publicIPAddresses</t>
        </is>
      </c>
      <c r="G29" s="3" t="inlineStr">
        <is>
          <t>HighAvailability</t>
        </is>
      </c>
      <c r="H29" s="3" t="inlineStr">
        <is>
          <t>Use NAT gateway for outbound connectivity to avoid SNAT Exhaustion</t>
        </is>
      </c>
      <c r="I29" s="3" t="inlineStr">
        <is>
          <t>Medium</t>
        </is>
      </c>
      <c r="J29" s="3" t="inlineStr">
        <is>
          <t xml:space="preserve">Prevent connectivity failures due to SNAT port exhaustion by employing NAT gateway for outbound traffic from virtual networks, ensuring dynamic scaling and secure internet connections.
</t>
        </is>
      </c>
      <c r="K29" s="3" t="str">
        <f>HYPERLINK("https://learn.microsoft.com/azure/advisor/advisor-reference-reliability-recommendations#use-nat-gateway-for-outbound-connectivity","https://learn.microsoft.com/azure/advisor/advisor-reference-reliability-recommendations#use-nat-gateway-for-outbound-connectivity")</f>
      </c>
      <c r="L29" s="3" t="inlineStr">
        <is>
          <t>1adba190-5c4c-e646-8527-dd1b2a6d8b15</t>
        </is>
      </c>
    </row>
    <row r="30" s="2" customFormat="1">
      <c r="A30" s="2" t="inlineStr">
        <is>
          <t>N/A</t>
        </is>
      </c>
      <c r="B30" s="2" t="inlineStr">
        <is>
          <t>0</t>
        </is>
      </c>
      <c r="C30" s="2" t="inlineStr">
        <is>
          <t>Azure Service</t>
        </is>
      </c>
      <c r="D30" s="2" t="inlineStr">
        <is>
          <t>APRL</t>
        </is>
      </c>
      <c r="E30" s="2" t="inlineStr">
        <is>
          <t>Microsoft.Network</t>
        </is>
      </c>
      <c r="F30" s="2" t="inlineStr">
        <is>
          <t>publicIPAddresses</t>
        </is>
      </c>
      <c r="G30" s="2" t="inlineStr">
        <is>
          <t>HighAvailability</t>
        </is>
      </c>
      <c r="H30" s="2" t="inlineStr">
        <is>
          <t>Upgrade Basic SKU public IP addresses to Standard SKU</t>
        </is>
      </c>
      <c r="I30" s="2" t="inlineStr">
        <is>
          <t>Medium</t>
        </is>
      </c>
      <c r="J30" s="2" t="inlineStr">
        <is>
          <t xml:space="preserve">Basic SKU public IP addresses will be retired on September 30, 2025. Users are advised to upgrade to Standard SKU public IP addresses before this date to avoid service disruptions.
</t>
        </is>
      </c>
      <c r="K30" s="2" t="str">
        <f>HYPERLINK("https://learn.microsoft.com/azure/virtual-network/ip-services/public-ip-basic-upgrade-guidance","https://learn.microsoft.com/azure/virtual-network/ip-services/public-ip-basic-upgrade-guidance")</f>
      </c>
      <c r="L30" s="2" t="inlineStr">
        <is>
          <t>5cea1501-6fe4-4ec4-ac8f-f72320eb18d3</t>
        </is>
      </c>
    </row>
    <row r="31" s="3" customFormat="1">
      <c r="A31" s="3" t="inlineStr">
        <is>
          <t>N/A</t>
        </is>
      </c>
      <c r="B31" s="3" t="inlineStr">
        <is>
          <t>0</t>
        </is>
      </c>
      <c r="C31" s="3" t="inlineStr">
        <is>
          <t>Azure Service</t>
        </is>
      </c>
      <c r="D31" s="3" t="inlineStr">
        <is>
          <t>AOR</t>
        </is>
      </c>
      <c r="E31" s="3" t="inlineStr">
        <is>
          <t>Microsoft.Network</t>
        </is>
      </c>
      <c r="F31" s="3" t="inlineStr">
        <is>
          <t>publicIPAddresses</t>
        </is>
      </c>
      <c r="G31" s="3" t="inlineStr">
        <is>
          <t>Governance</t>
        </is>
      </c>
      <c r="H31" s="3" t="inlineStr">
        <is>
          <t>Public IPs not attached to any resource</t>
        </is>
      </c>
      <c r="I31" s="3" t="inlineStr">
        <is>
          <t>Medium</t>
        </is>
      </c>
      <c r="J31" s="3" t="inlineStr">
        <is>
          <t xml:space="preserve">Public IPs not attached to any resource.
</t>
        </is>
      </c>
      <c r="K31" s="3" t="str">
        <f>HYPERLINK("https://learn.microsoft.com/en-us/azure/virtual-network/ip-services/public-ip-addresses","https://learn.microsoft.com/en-us/azure/virtual-network/ip-services/public-ip-addresses")</f>
      </c>
      <c r="L31" s="3" t="inlineStr">
        <is>
          <t>5e6f7a8b-9c0d-1e2f-3a4b-5c6d7e8f9a0b</t>
        </is>
      </c>
    </row>
    <row r="32" s="2" customFormat="1">
      <c r="A32" s="2" t="inlineStr">
        <is>
          <t>N/A</t>
        </is>
      </c>
      <c r="B32" s="2" t="inlineStr">
        <is>
          <t>0</t>
        </is>
      </c>
      <c r="C32" s="2" t="inlineStr">
        <is>
          <t>Azure Service</t>
        </is>
      </c>
      <c r="D32" s="2" t="inlineStr">
        <is>
          <t>AZQR</t>
        </is>
      </c>
      <c r="E32" s="2" t="inlineStr">
        <is>
          <t>Microsoft.Cache</t>
        </is>
      </c>
      <c r="F32" s="2" t="inlineStr">
        <is>
          <t>redisEnterprise</t>
        </is>
      </c>
      <c r="G32" s="2" t="inlineStr">
        <is>
          <t>HighAvailability</t>
        </is>
      </c>
      <c r="H32" s="2" t="inlineStr">
        <is>
          <t>Azure Managed Redis should have high availability enabled</t>
        </is>
      </c>
      <c r="I32" s="2" t="inlineStr">
        <is>
          <t>High</t>
        </is>
      </c>
      <c r="J32" s="2" t="inlineStr">
        <is>
          <t xml:space="preserve">When high availability is disabled, the data set is not replicated. This affects the
availability SLA and increases the risk of data loss during planned or unplanned maintenance.
Only disable high availability for development or test workloads.
</t>
        </is>
      </c>
      <c r="K32" s="2" t="str">
        <f>HYPERLINK("https://learn.microsoft.com/en-us/azure/redis/best-practices-development#choose-an-appropriate-availability-mode","https://learn.microsoft.com/en-us/azure/redis/best-practices-development#choose-an-appropriate-availability-mode")</f>
      </c>
      <c r="L32" s="2" t="inlineStr">
        <is>
          <t>redis-013</t>
        </is>
      </c>
    </row>
    <row r="33" s="3" customFormat="1">
      <c r="A33" s="3" t="inlineStr">
        <is>
          <t>N/A</t>
        </is>
      </c>
      <c r="B33" s="3" t="inlineStr">
        <is>
          <t>0</t>
        </is>
      </c>
      <c r="C33" s="3" t="inlineStr">
        <is>
          <t>Azure Service</t>
        </is>
      </c>
      <c r="D33" s="3" t="inlineStr">
        <is>
          <t>AZQR</t>
        </is>
      </c>
      <c r="E33" s="3" t="inlineStr">
        <is>
          <t>Microsoft.Cache</t>
        </is>
      </c>
      <c r="F33" s="3" t="inlineStr">
        <is>
          <t>redisEnterprise</t>
        </is>
      </c>
      <c r="G33" s="3" t="inlineStr">
        <is>
          <t>Security</t>
        </is>
      </c>
      <c r="H33" s="3" t="inlineStr">
        <is>
          <t>Azure Managed Redis should disable public network access</t>
        </is>
      </c>
      <c r="I33" s="3" t="inlineStr">
        <is>
          <t>High</t>
        </is>
      </c>
      <c r="J33" s="3" t="inlineStr">
        <is>
          <t xml:space="preserve">Public network access exposes the Azure Managed Redis instance to the internet.
Disable public access and use Azure Private Link with private endpoints to keep
traffic within the Microsoft backbone network.
</t>
        </is>
      </c>
      <c r="K33" s="3" t="str">
        <f>HYPERLINK("https://learn.microsoft.com/en-us/azure/redis/secure-azure-managed-redis#network-security","https://learn.microsoft.com/en-us/azure/redis/secure-azure-managed-redis#network-security")</f>
      </c>
      <c r="L33" s="3" t="inlineStr">
        <is>
          <t>redis-014</t>
        </is>
      </c>
    </row>
    <row r="34" s="2" customFormat="1">
      <c r="A34" s="2" t="inlineStr">
        <is>
          <t>N/A</t>
        </is>
      </c>
      <c r="B34" s="2" t="inlineStr">
        <is>
          <t>0</t>
        </is>
      </c>
      <c r="C34" s="2" t="inlineStr">
        <is>
          <t>Azure Service</t>
        </is>
      </c>
      <c r="D34" s="2" t="inlineStr">
        <is>
          <t>AZQR</t>
        </is>
      </c>
      <c r="E34" s="2" t="inlineStr">
        <is>
          <t>Microsoft.Cache</t>
        </is>
      </c>
      <c r="F34" s="2" t="inlineStr">
        <is>
          <t>redisEnterprise</t>
        </is>
      </c>
      <c r="G34" s="2" t="inlineStr">
        <is>
          <t>Security</t>
        </is>
      </c>
      <c r="H34" s="2" t="inlineStr">
        <is>
          <t>Azure Managed Redis should use private endpoints</t>
        </is>
      </c>
      <c r="I34" s="2" t="inlineStr">
        <is>
          <t>High</t>
        </is>
      </c>
      <c r="J34" s="2" t="inlineStr">
        <is>
          <t xml:space="preserve">Azure Managed Redis instances should use Azure Private Link with private endpoints to
ensure all traffic stays within the Microsoft backbone network and the instance is not
exposed to the public internet.
</t>
        </is>
      </c>
      <c r="K34" s="2" t="str">
        <f>HYPERLINK("https://learn.microsoft.com/en-us/azure/redis/private-link","https://learn.microsoft.com/en-us/azure/redis/private-link")</f>
      </c>
      <c r="L34" s="2" t="inlineStr">
        <is>
          <t>redis-015</t>
        </is>
      </c>
    </row>
    <row r="35" s="3" customFormat="1">
      <c r="A35" s="3" t="inlineStr">
        <is>
          <t>N/A</t>
        </is>
      </c>
      <c r="B35" s="3" t="inlineStr">
        <is>
          <t>0</t>
        </is>
      </c>
      <c r="C35" s="3" t="inlineStr">
        <is>
          <t>Azure Service</t>
        </is>
      </c>
      <c r="D35" s="3" t="inlineStr">
        <is>
          <t>AZQR</t>
        </is>
      </c>
      <c r="E35" s="3" t="inlineStr">
        <is>
          <t>Microsoft.Cache</t>
        </is>
      </c>
      <c r="F35" s="3" t="inlineStr">
        <is>
          <t>redisEnterprise</t>
        </is>
      </c>
      <c r="G35" s="3" t="inlineStr">
        <is>
          <t>Security</t>
        </is>
      </c>
      <c r="H35" s="3" t="inlineStr">
        <is>
          <t>Azure Managed Redis should use customer-managed key encryption</t>
        </is>
      </c>
      <c r="I35" s="3" t="inlineStr">
        <is>
          <t>Low</t>
        </is>
      </c>
      <c r="J35" s="3" t="inlineStr">
        <is>
          <t xml:space="preserve">By default Azure Managed Redis encrypts data at rest using Microsoft-managed keys.
For additional control and compliance, configure customer-managed keys (CMK) via
Azure Key Vault to wrap the encryption keys.
</t>
        </is>
      </c>
      <c r="K35" s="3" t="str">
        <f>HYPERLINK("https://learn.microsoft.com/en-us/azure/redis/how-to-encryption","https://learn.microsoft.com/en-us/azure/redis/how-to-encryption")</f>
      </c>
      <c r="L35" s="3" t="inlineStr">
        <is>
          <t>redis-016</t>
        </is>
      </c>
    </row>
    <row r="36" s="2" customFormat="1">
      <c r="A36" s="2" t="inlineStr">
        <is>
          <t>N/A</t>
        </is>
      </c>
      <c r="B36" s="2" t="inlineStr">
        <is>
          <t>0</t>
        </is>
      </c>
      <c r="C36" s="2" t="inlineStr">
        <is>
          <t>Azure Service</t>
        </is>
      </c>
      <c r="D36" s="2" t="inlineStr">
        <is>
          <t>AZQR</t>
        </is>
      </c>
      <c r="E36" s="2" t="inlineStr">
        <is>
          <t>Microsoft.Cache</t>
        </is>
      </c>
      <c r="F36" s="2" t="inlineStr">
        <is>
          <t>redisEnterprise</t>
        </is>
      </c>
      <c r="G36" s="2" t="inlineStr">
        <is>
          <t>HighAvailability</t>
        </is>
      </c>
      <c r="H36" s="2" t="inlineStr">
        <is>
          <t>Redis Enterprise SKU is deprecated and should be migrated to Azure Managed Redis</t>
        </is>
      </c>
      <c r="I36" s="2" t="inlineStr">
        <is>
          <t>High</t>
        </is>
      </c>
      <c r="J36" s="2" t="inlineStr">
        <is>
          <t xml:space="preserve">The Redis Enterprise SKUs (Enterprise_E5, Enterprise_E10, Enterprise_E20, Enterprise_E50,
Enterprise_E100, Enterprise_E200, Enterprise_E400, EnterpriseFlash_F300, EnterpriseFlash_F700,
EnterpriseFlash_F1500) are being retired. New instances cannot be created after April 2026 and
all existing instances will be migrated by March 2027. Migrate to Azure Managed Redis using the
new SKUs: Balanced_B*, MemoryOptimized_M*, ComputeOptimized_X*, or Flash_F*.
</t>
        </is>
      </c>
      <c r="K36" s="2" t="str">
        <f>HYPERLINK("https://learn.microsoft.com/en-us/azure/redis/migrate/migrate-redis-enterprise-understand","https://learn.microsoft.com/en-us/azure/redis/migrate/migrate-redis-enterprise-understand")</f>
      </c>
      <c r="L36" s="2" t="inlineStr">
        <is>
          <t>redis-010</t>
        </is>
      </c>
    </row>
    <row r="37" s="3" customFormat="1">
      <c r="A37" s="3" t="inlineStr">
        <is>
          <t>N/A</t>
        </is>
      </c>
      <c r="B37" s="3" t="inlineStr">
        <is>
          <t>0</t>
        </is>
      </c>
      <c r="C37" s="3" t="inlineStr">
        <is>
          <t>Azure Service</t>
        </is>
      </c>
      <c r="D37" s="3" t="inlineStr">
        <is>
          <t>AZQR</t>
        </is>
      </c>
      <c r="E37" s="3" t="inlineStr">
        <is>
          <t>Microsoft.Cache</t>
        </is>
      </c>
      <c r="F37" s="3" t="inlineStr">
        <is>
          <t>redisEnterprise</t>
        </is>
      </c>
      <c r="G37" s="3" t="inlineStr">
        <is>
          <t>HighAvailability</t>
        </is>
      </c>
      <c r="H37" s="3" t="inlineStr">
        <is>
          <t>Azure Managed Redis should have zone redundancy enabled</t>
        </is>
      </c>
      <c r="I37" s="3" t="inlineStr">
        <is>
          <t>High</t>
        </is>
      </c>
      <c r="J37" s="3" t="inlineStr">
        <is>
          <t xml:space="preserve">Azure Managed Redis supports zone redundancy by distributing cache nodes across multiple
availability zones. Zone redundancy reduces the risk of a datacenter outage making your
cache unavailable and is enabled by default on new instances.
</t>
        </is>
      </c>
      <c r="K37" s="3" t="str">
        <f>HYPERLINK("https://learn.microsoft.com/azure/reliability/reliability-managed-redis","https://learn.microsoft.com/azure/reliability/reliability-managed-redis")</f>
      </c>
      <c r="L37" s="3" t="inlineStr">
        <is>
          <t>redis-012</t>
        </is>
      </c>
    </row>
    <row r="38" s="2" customFormat="1">
      <c r="A38" s="2" t="inlineStr">
        <is>
          <t>N/A</t>
        </is>
      </c>
      <c r="B38" s="2" t="inlineStr">
        <is>
          <t>0</t>
        </is>
      </c>
      <c r="C38" s="2" t="inlineStr">
        <is>
          <t>Azure Service</t>
        </is>
      </c>
      <c r="D38" s="2" t="inlineStr">
        <is>
          <t>APRL</t>
        </is>
      </c>
      <c r="E38" s="2" t="inlineStr">
        <is>
          <t>Microsoft.Compute</t>
        </is>
      </c>
      <c r="F38" s="2" t="inlineStr">
        <is>
          <t>virtualMachineScaleSets</t>
        </is>
      </c>
      <c r="G38" s="2" t="inlineStr">
        <is>
          <t>HighAvailability</t>
        </is>
      </c>
      <c r="H38" s="2" t="inlineStr">
        <is>
          <t>Enable Automatic Repair Policy on Azure Virtual Machine Scale Sets</t>
        </is>
      </c>
      <c r="I38" s="2" t="inlineStr">
        <is>
          <t>High</t>
        </is>
      </c>
      <c r="J38" s="2" t="inlineStr">
        <is>
          <t xml:space="preserve">Enabling automatic instance repairs in Azure Virtual Machine Scale Sets enhances application availability through a continuous health check and maintenance process.
</t>
        </is>
      </c>
      <c r="K38" s="2" t="str">
        <f>HYPERLINK("https://learn.microsoft.com/azure/virtual-machine-scale-sets/virtual-machine-scale-sets-automatic-instance-repairs#requirements-for-using-automatic-instance-repairs","https://learn.microsoft.com/azure/virtual-machine-scale-sets/virtual-machine-scale-sets-automatic-instance-repairs#requirements-for-using-automatic-instance-repairs")</f>
      </c>
      <c r="L38" s="2" t="inlineStr">
        <is>
          <t>820f4743-1f94-e946-ae0b-45efafd87962</t>
        </is>
      </c>
    </row>
    <row r="39" s="3" customFormat="1">
      <c r="A39" s="3" t="inlineStr">
        <is>
          <t>N/A</t>
        </is>
      </c>
      <c r="B39" s="3" t="inlineStr">
        <is>
          <t>0</t>
        </is>
      </c>
      <c r="C39" s="3" t="inlineStr">
        <is>
          <t>Azure Service</t>
        </is>
      </c>
      <c r="D39" s="3" t="inlineStr">
        <is>
          <t>APRL</t>
        </is>
      </c>
      <c r="E39" s="3" t="inlineStr">
        <is>
          <t>Microsoft.Compute</t>
        </is>
      </c>
      <c r="F39" s="3" t="inlineStr">
        <is>
          <t>virtualMachineScaleSets</t>
        </is>
      </c>
      <c r="G39" s="3" t="inlineStr">
        <is>
          <t>Scalability</t>
        </is>
      </c>
      <c r="H39" s="3" t="inlineStr">
        <is>
          <t>Use Ephemeral OS Disks for AKS VMSS Node Pools</t>
        </is>
      </c>
      <c r="I39" s="3" t="inlineStr">
        <is>
          <t>Medium</t>
        </is>
      </c>
      <c r="J39" s="3" t="inlineStr">
        <is>
          <t xml:space="preserve">Ephemeral OS disks on AKS offer lower read/write latency due to local attachment, eliminating the need for replication seen with managed disks. This enhances performance and speeds up cluster operations such as scaling or upgrading due to quicker re-imaging and boot times.
</t>
        </is>
      </c>
      <c r="K39" s="3" t="str">
        <f>HYPERLINK("https://learn.microsoft.com/azure/aks/concepts-storage#ephemeral-os-disk","https://learn.microsoft.com/azure/aks/concepts-storage#ephemeral-os-disk")</f>
      </c>
      <c r="L39" s="3" t="inlineStr">
        <is>
          <t>a7bfcc18-b0d8-4d37-81f3-8131ed8bead5</t>
        </is>
      </c>
    </row>
    <row r="40" s="2" customFormat="1">
      <c r="A40" s="2" t="inlineStr">
        <is>
          <t>N/A</t>
        </is>
      </c>
      <c r="B40" s="2" t="inlineStr">
        <is>
          <t>0</t>
        </is>
      </c>
      <c r="C40" s="2" t="inlineStr">
        <is>
          <t>Azure Service</t>
        </is>
      </c>
      <c r="D40" s="2" t="inlineStr">
        <is>
          <t>APRL</t>
        </is>
      </c>
      <c r="E40" s="2" t="inlineStr">
        <is>
          <t>Microsoft.Compute</t>
        </is>
      </c>
      <c r="F40" s="2" t="inlineStr">
        <is>
          <t>virtualMachineScaleSets</t>
        </is>
      </c>
      <c r="G40" s="2" t="inlineStr">
        <is>
          <t>Scalability</t>
        </is>
      </c>
      <c r="H40" s="2" t="inlineStr">
        <is>
          <t>Configure VMSS Autoscale to custom and configure the scaling metrics</t>
        </is>
      </c>
      <c r="I40" s="2" t="inlineStr">
        <is>
          <t>High</t>
        </is>
      </c>
      <c r="J40" s="2" t="inlineStr">
        <is>
          <t xml:space="preserve">Use custom autoscale for VMSS based on metrics and schedules to improve performance and cost effectiveness, adjusting instances as demand changes.
</t>
        </is>
      </c>
      <c r="K40" s="2" t="str">
        <f>HYPERLINK("https://learn.microsoft.com/azure/azure-monitor/autoscale/autoscale-get-started?WT.mc_id=Portal-Microsoft_Azure_Monitoring","https://learn.microsoft.com/azure/azure-monitor/autoscale/autoscale-get-started?WT.mc_id=Portal-Microsoft_Azure_Monitoring")</f>
      </c>
      <c r="L40" s="2" t="inlineStr">
        <is>
          <t>ee66ff65-9aa3-2345-93c1-25827cf79f44</t>
        </is>
      </c>
    </row>
    <row r="41" s="3" customFormat="1">
      <c r="A41" s="3" t="inlineStr">
        <is>
          <t>N/A</t>
        </is>
      </c>
      <c r="B41" s="3" t="inlineStr">
        <is>
          <t>0</t>
        </is>
      </c>
      <c r="C41" s="3" t="inlineStr">
        <is>
          <t>Azure Service</t>
        </is>
      </c>
      <c r="D41" s="3" t="inlineStr">
        <is>
          <t>APRL</t>
        </is>
      </c>
      <c r="E41" s="3" t="inlineStr">
        <is>
          <t>Microsoft.Compute</t>
        </is>
      </c>
      <c r="F41" s="3" t="inlineStr">
        <is>
          <t>virtualMachineScaleSets</t>
        </is>
      </c>
      <c r="G41" s="3" t="inlineStr">
        <is>
          <t>MonitoringAndAlerting</t>
        </is>
      </c>
      <c r="H41" s="3" t="inlineStr">
        <is>
          <t>Enable Azure Virtual Machine Scale Set Application Health Monitoring</t>
        </is>
      </c>
      <c r="I41" s="3" t="inlineStr">
        <is>
          <t>Medium</t>
        </is>
      </c>
      <c r="J41" s="3" t="inlineStr">
        <is>
          <t xml:space="preserve">Monitoring application health in Azure Virtual Machine Scale Sets is crucial for deployment management. It supports rolling upgrades such as automatic OS-image upgrades and VM guest patching, leveraging health monitoring for upgrading.
</t>
        </is>
      </c>
      <c r="K41" s="3" t="str">
        <f>HYPERLINK("https://learn.microsoft.com/azure/virtual-machine-scale-sets/virtual-machine-scale-sets-health-extension?tabs=rest-api","https://learn.microsoft.com/azure/virtual-machine-scale-sets/virtual-machine-scale-sets-health-extension?tabs=rest-api")</f>
      </c>
      <c r="L41" s="3" t="inlineStr">
        <is>
          <t>94794d2a-eff0-2345-9b67-6f9349d0a627</t>
        </is>
      </c>
    </row>
    <row r="42" s="2" customFormat="1">
      <c r="A42" s="2" t="inlineStr">
        <is>
          <t>N/A</t>
        </is>
      </c>
      <c r="B42" s="2" t="inlineStr">
        <is>
          <t>0</t>
        </is>
      </c>
      <c r="C42" s="2" t="inlineStr">
        <is>
          <t>Azure Service</t>
        </is>
      </c>
      <c r="D42" s="2" t="inlineStr">
        <is>
          <t>APRL</t>
        </is>
      </c>
      <c r="E42" s="2" t="inlineStr">
        <is>
          <t>Microsoft.Compute</t>
        </is>
      </c>
      <c r="F42" s="2" t="inlineStr">
        <is>
          <t>virtualMachineScaleSets</t>
        </is>
      </c>
      <c r="G42" s="2" t="inlineStr">
        <is>
          <t>HighAvailability</t>
        </is>
      </c>
      <c r="H42" s="2" t="inlineStr">
        <is>
          <t>Disable Force strictly even balance across zones to avoid scale in and out fail attempts</t>
        </is>
      </c>
      <c r="I42" s="2" t="inlineStr">
        <is>
          <t>High</t>
        </is>
      </c>
      <c r="J42" s="2" t="inlineStr">
        <is>
          <t xml:space="preserve">Microsoft advises disabling strictly even VM instance distribution across Availability Zones in VMSS to improve scalability and flexibility, noting that uneven distribution may better serve application load demands despite the potential trade-off in resilience.
</t>
        </is>
      </c>
      <c r="K42" s="2" t="str">
        <f>HYPERLINK("https://learn.microsoft.com/azure/virtual-machine-scale-sets/virtual-machine-scale-sets-scale-in-policy","https://learn.microsoft.com/azure/virtual-machine-scale-sets/virtual-machine-scale-sets-scale-in-policy")</f>
      </c>
      <c r="L42" s="2" t="inlineStr">
        <is>
          <t>b5a63aa0-c58e-244f-b8a6-cbba0560a6db</t>
        </is>
      </c>
    </row>
    <row r="43" s="3" customFormat="1">
      <c r="A43" s="3" t="inlineStr">
        <is>
          <t>N/A</t>
        </is>
      </c>
      <c r="B43" s="3" t="inlineStr">
        <is>
          <t>0</t>
        </is>
      </c>
      <c r="C43" s="3" t="inlineStr">
        <is>
          <t>Azure Service</t>
        </is>
      </c>
      <c r="D43" s="3" t="inlineStr">
        <is>
          <t>APRL</t>
        </is>
      </c>
      <c r="E43" s="3" t="inlineStr">
        <is>
          <t>Microsoft.Compute</t>
        </is>
      </c>
      <c r="F43" s="3" t="inlineStr">
        <is>
          <t>virtualMachineScaleSets</t>
        </is>
      </c>
      <c r="G43" s="3" t="inlineStr">
        <is>
          <t>Scalability</t>
        </is>
      </c>
      <c r="H43" s="3" t="inlineStr">
        <is>
          <t>Enable Predictive autoscale and configure at least for Forecast Only</t>
        </is>
      </c>
      <c r="I43" s="3" t="inlineStr">
        <is>
          <t>Low</t>
        </is>
      </c>
      <c r="J43" s="3" t="inlineStr">
        <is>
          <t xml:space="preserve">Predictive autoscale utilizes machine learning to efficiently manage and scale Azure Virtual Machine Scale Sets by forecasting CPU load through historical usage analysis, ensuring timely scale-out to meet demand.
</t>
        </is>
      </c>
      <c r="K43" s="3" t="str">
        <f>HYPERLINK("https://learn.microsoft.com/azure/azure-monitor/autoscale/autoscale-predictive","https://learn.microsoft.com/azure/azure-monitor/autoscale/autoscale-predictive")</f>
      </c>
      <c r="L43" s="3" t="inlineStr">
        <is>
          <t>3f85a51c-e286-9f44-b4dc-51d00768696c</t>
        </is>
      </c>
    </row>
    <row r="44" s="2" customFormat="1">
      <c r="A44" s="2" t="inlineStr">
        <is>
          <t>N/A</t>
        </is>
      </c>
      <c r="B44" s="2" t="inlineStr">
        <is>
          <t>0</t>
        </is>
      </c>
      <c r="C44" s="2" t="inlineStr">
        <is>
          <t>Azure Service</t>
        </is>
      </c>
      <c r="D44" s="2" t="inlineStr">
        <is>
          <t>APRL</t>
        </is>
      </c>
      <c r="E44" s="2" t="inlineStr">
        <is>
          <t>Microsoft.Compute</t>
        </is>
      </c>
      <c r="F44" s="2" t="inlineStr">
        <is>
          <t>virtualMachineScaleSets</t>
        </is>
      </c>
      <c r="G44" s="2" t="inlineStr">
        <is>
          <t>Scalability</t>
        </is>
      </c>
      <c r="H44" s="2" t="inlineStr">
        <is>
          <t>Deploy VMSS with Flex orchestration mode instead of Uniform</t>
        </is>
      </c>
      <c r="I44" s="2" t="inlineStr">
        <is>
          <t>Medium</t>
        </is>
      </c>
      <c r="J44" s="2" t="inlineStr">
        <is>
          <t xml:space="preserve">Deploying even single instance VMs into a scale set with Flexible orchestration mode future-proofs applications for scaling and availability. This mode guarantees high availability (up to 1000 VMs) by distributing VMs across fault domains in a region or within an Availability Zone.
</t>
        </is>
      </c>
      <c r="K44" s="2" t="str">
        <f>HYPERLINK("https://learn.microsoft.com/azure/virtual-machine-scale-sets/virtual-machine-scale-sets-design-overview#when-to-use-scale-sets-instead-of-virtual-machines","https://learn.microsoft.com/azure/virtual-machine-scale-sets/virtual-machine-scale-sets-design-overview#when-to-use-scale-sets-instead-of-virtual-machines")</f>
      </c>
      <c r="L44" s="2" t="inlineStr">
        <is>
          <t>e7495e1c-0c75-0946-b266-b429b5c7f3bf</t>
        </is>
      </c>
    </row>
    <row r="45" s="3" customFormat="1">
      <c r="A45" s="3" t="inlineStr">
        <is>
          <t>N/A</t>
        </is>
      </c>
      <c r="B45" s="3" t="inlineStr">
        <is>
          <t>0</t>
        </is>
      </c>
      <c r="C45" s="3" t="inlineStr">
        <is>
          <t>Azure Service</t>
        </is>
      </c>
      <c r="D45" s="3" t="inlineStr">
        <is>
          <t>APRL</t>
        </is>
      </c>
      <c r="E45" s="3" t="inlineStr">
        <is>
          <t>Microsoft.Compute</t>
        </is>
      </c>
      <c r="F45" s="3" t="inlineStr">
        <is>
          <t>virtualMachineScaleSets</t>
        </is>
      </c>
      <c r="G45" s="3" t="inlineStr">
        <is>
          <t>HighAvailability</t>
        </is>
      </c>
      <c r="H45" s="3" t="inlineStr">
        <is>
          <t>Deploy VMSS across availability zones with VMSS Flex</t>
        </is>
      </c>
      <c r="I45" s="3" t="inlineStr">
        <is>
          <t>High</t>
        </is>
      </c>
      <c r="J45" s="3" t="inlineStr">
        <is>
          <t xml:space="preserve">When creating VMSS, implement availability zones as a protection measure for your applications and data against the rare event of datacenter failure.
</t>
        </is>
      </c>
      <c r="K45" s="3" t="str">
        <f>HYPERLINK("https://learn.microsoft.com/azure/virtual-machine-scale-sets/virtual-machine-scale-sets-use-availability-zones","https://learn.microsoft.com/azure/virtual-machine-scale-sets/virtual-machine-scale-sets-use-availability-zones")</f>
      </c>
      <c r="L45" s="3" t="inlineStr">
        <is>
          <t>1422c567-782c-7148-ac7c-5fc14cf45adc</t>
        </is>
      </c>
    </row>
    <row r="46" s="2" customFormat="1">
      <c r="A46" s="2" t="inlineStr">
        <is>
          <t>N/A</t>
        </is>
      </c>
      <c r="B46" s="2" t="inlineStr">
        <is>
          <t>0</t>
        </is>
      </c>
      <c r="C46" s="2" t="inlineStr">
        <is>
          <t>Azure Service</t>
        </is>
      </c>
      <c r="D46" s="2" t="inlineStr">
        <is>
          <t>AZQR</t>
        </is>
      </c>
      <c r="E46" s="2" t="inlineStr">
        <is>
          <t>microsoft.dbformariadb</t>
        </is>
      </c>
      <c r="F46" s="2" t="inlineStr">
        <is>
          <t>servers</t>
        </is>
      </c>
      <c r="G46" s="2" t="inlineStr">
        <is>
          <t>MonitoringAndAlerting</t>
        </is>
      </c>
      <c r="H46" s="2" t="inlineStr">
        <is>
          <t>MariaDB should have diagnostic settings enabled</t>
        </is>
      </c>
      <c r="I46" s="2" t="inlineStr">
        <is>
          <t>Low</t>
        </is>
      </c>
      <c r="J46" s="2" t="inlineStr">
        <is>
          <t/>
        </is>
      </c>
      <c r="K46" s="2" t="inlineStr">
        <is>
          <t/>
        </is>
      </c>
      <c r="L46" s="2" t="inlineStr">
        <is>
          <t>maria-001</t>
        </is>
      </c>
    </row>
    <row r="47" s="3" customFormat="1">
      <c r="A47" s="3" t="inlineStr">
        <is>
          <t>N/A</t>
        </is>
      </c>
      <c r="B47" s="3" t="inlineStr">
        <is>
          <t>0</t>
        </is>
      </c>
      <c r="C47" s="3" t="inlineStr">
        <is>
          <t>Azure Service</t>
        </is>
      </c>
      <c r="D47" s="3" t="inlineStr">
        <is>
          <t>AZQR</t>
        </is>
      </c>
      <c r="E47" s="3" t="inlineStr">
        <is>
          <t>Microsoft.CognitiveServices</t>
        </is>
      </c>
      <c r="F47" s="3" t="inlineStr">
        <is>
          <t>accounts</t>
        </is>
      </c>
      <c r="G47" s="3" t="inlineStr">
        <is>
          <t>Security</t>
        </is>
      </c>
      <c r="H47" s="3" t="inlineStr">
        <is>
          <t>Service should have private endpoints enabled</t>
        </is>
      </c>
      <c r="I47" s="3" t="inlineStr">
        <is>
          <t>High</t>
        </is>
      </c>
      <c r="J47" s="3" t="inlineStr">
        <is>
          <t>Service should have private endpoints enabled</t>
        </is>
      </c>
      <c r="K47" s="3" t="str">
        <f>HYPERLINK("https://learn.microsoft.com/azure/ai-services/cognitive-services-virtual-networks","https://learn.microsoft.com/azure/ai-services/cognitive-services-virtual-networks")</f>
      </c>
      <c r="L47" s="3" t="inlineStr">
        <is>
          <t>aif-004</t>
        </is>
      </c>
    </row>
    <row r="48" s="2" customFormat="1">
      <c r="A48" s="2" t="inlineStr">
        <is>
          <t>N/A</t>
        </is>
      </c>
      <c r="B48" s="2" t="inlineStr">
        <is>
          <t>0</t>
        </is>
      </c>
      <c r="C48" s="2" t="inlineStr">
        <is>
          <t>Azure Service</t>
        </is>
      </c>
      <c r="D48" s="2" t="inlineStr">
        <is>
          <t>AZQR</t>
        </is>
      </c>
      <c r="E48" s="2" t="inlineStr">
        <is>
          <t>microsoft.cognitiveservices</t>
        </is>
      </c>
      <c r="F48" s="2" t="inlineStr">
        <is>
          <t>accounts</t>
        </is>
      </c>
      <c r="G48" s="2" t="inlineStr">
        <is>
          <t>MonitoringAndAlerting</t>
        </is>
      </c>
      <c r="H48" s="2" t="inlineStr">
        <is>
          <t>Service should have diagnostic settings enabled</t>
        </is>
      </c>
      <c r="I48" s="2" t="inlineStr">
        <is>
          <t>Low</t>
        </is>
      </c>
      <c r="J48" s="2" t="inlineStr">
        <is>
          <t/>
        </is>
      </c>
      <c r="K48" s="2" t="str">
        <f>HYPERLINK("https://learn.microsoft.com/en-us/azure/event-hubs/monitor-event-hubs#collection-and-routing","https://learn.microsoft.com/en-us/azure/event-hubs/monitor-event-hubs#collection-and-routing")</f>
      </c>
      <c r="L48" s="2" t="inlineStr">
        <is>
          <t>aif-001</t>
        </is>
      </c>
    </row>
    <row r="49" s="3" customFormat="1">
      <c r="A49" s="3" t="inlineStr">
        <is>
          <t>N/A</t>
        </is>
      </c>
      <c r="B49" s="3" t="inlineStr">
        <is>
          <t>0</t>
        </is>
      </c>
      <c r="C49" s="3" t="inlineStr">
        <is>
          <t>Azure Service</t>
        </is>
      </c>
      <c r="D49" s="3" t="inlineStr">
        <is>
          <t>AZQR</t>
        </is>
      </c>
      <c r="E49" s="3" t="inlineStr">
        <is>
          <t>Microsoft.CognitiveServices</t>
        </is>
      </c>
      <c r="F49" s="3" t="inlineStr">
        <is>
          <t>accounts</t>
        </is>
      </c>
      <c r="G49" s="3" t="inlineStr">
        <is>
          <t>Security</t>
        </is>
      </c>
      <c r="H49" s="3" t="inlineStr">
        <is>
          <t>Service should have local authentication disabled</t>
        </is>
      </c>
      <c r="I49" s="3" t="inlineStr">
        <is>
          <t>Medium</t>
        </is>
      </c>
      <c r="J49" s="3" t="inlineStr">
        <is>
          <t>Service should have local authentication disabled</t>
        </is>
      </c>
      <c r="K49" s="3" t="str">
        <f>HYPERLINK("https://learn.microsoft.com/azure/ai-services/disable-local-auth","https://learn.microsoft.com/azure/ai-services/disable-local-auth")</f>
      </c>
      <c r="L49" s="3" t="inlineStr">
        <is>
          <t>aif-008</t>
        </is>
      </c>
    </row>
    <row r="50" s="2" customFormat="1">
      <c r="A50" s="2" t="inlineStr">
        <is>
          <t>N/A</t>
        </is>
      </c>
      <c r="B50" s="2" t="inlineStr">
        <is>
          <t>0</t>
        </is>
      </c>
      <c r="C50" s="2" t="inlineStr">
        <is>
          <t>Azure Service</t>
        </is>
      </c>
      <c r="D50" s="2" t="inlineStr">
        <is>
          <t>AZQR</t>
        </is>
      </c>
      <c r="E50" s="2" t="inlineStr">
        <is>
          <t>microsoft.analysisservices</t>
        </is>
      </c>
      <c r="F50" s="2" t="inlineStr">
        <is>
          <t>servers</t>
        </is>
      </c>
      <c r="G50" s="2" t="inlineStr">
        <is>
          <t>MonitoringAndAlerting</t>
        </is>
      </c>
      <c r="H50" s="2" t="inlineStr">
        <is>
          <t>Azure Analysis Service should have diagnostic settings enabled</t>
        </is>
      </c>
      <c r="I50" s="2" t="inlineStr">
        <is>
          <t>Low</t>
        </is>
      </c>
      <c r="J50" s="2" t="inlineStr">
        <is>
          <t/>
        </is>
      </c>
      <c r="K50" s="2" t="str">
        <f>HYPERLINK("https://learn.microsoft.com/en-us/azure/analysis-services/analysis-services-logging","https://learn.microsoft.com/en-us/azure/analysis-services/analysis-services-logging")</f>
      </c>
      <c r="L50" s="2" t="inlineStr">
        <is>
          <t>as-001</t>
        </is>
      </c>
    </row>
    <row r="51" s="3" customFormat="1">
      <c r="A51" s="3" t="inlineStr">
        <is>
          <t>N/A</t>
        </is>
      </c>
      <c r="B51" s="3" t="inlineStr">
        <is>
          <t>0</t>
        </is>
      </c>
      <c r="C51" s="3" t="inlineStr">
        <is>
          <t>Azure Service</t>
        </is>
      </c>
      <c r="D51" s="3" t="inlineStr">
        <is>
          <t>AZQR</t>
        </is>
      </c>
      <c r="E51" s="3" t="inlineStr">
        <is>
          <t>Microsoft.DBforMySQL</t>
        </is>
      </c>
      <c r="F51" s="3" t="inlineStr">
        <is>
          <t>servers</t>
        </is>
      </c>
      <c r="G51" s="3" t="inlineStr">
        <is>
          <t>Security</t>
        </is>
      </c>
      <c r="H51" s="3" t="inlineStr">
        <is>
          <t>Azure Database for MySQL - Single Server should have private endpoints enabled</t>
        </is>
      </c>
      <c r="I51" s="3" t="inlineStr">
        <is>
          <t>High</t>
        </is>
      </c>
      <c r="J51" s="3" t="inlineStr">
        <is>
          <t>Azure Database for MySQL - Single Server should have private endpoints enabled</t>
        </is>
      </c>
      <c r="K51" s="3" t="str">
        <f>HYPERLINK("https://learn.microsoft.com/azure/mysql/single-server/concepts-data-access-security-private-link","https://learn.microsoft.com/azure/mysql/single-server/concepts-data-access-security-private-link")</f>
      </c>
      <c r="L51" s="3" t="inlineStr">
        <is>
          <t>mysql-004</t>
        </is>
      </c>
    </row>
    <row r="52" s="2" customFormat="1">
      <c r="A52" s="2" t="inlineStr">
        <is>
          <t>N/A</t>
        </is>
      </c>
      <c r="B52" s="2" t="inlineStr">
        <is>
          <t>0</t>
        </is>
      </c>
      <c r="C52" s="2" t="inlineStr">
        <is>
          <t>Azure Service</t>
        </is>
      </c>
      <c r="D52" s="2" t="inlineStr">
        <is>
          <t>AZQR</t>
        </is>
      </c>
      <c r="E52" s="2" t="inlineStr">
        <is>
          <t>Microsoft.DBforMySQL</t>
        </is>
      </c>
      <c r="F52" s="2" t="inlineStr">
        <is>
          <t>servers</t>
        </is>
      </c>
      <c r="G52" s="2" t="inlineStr">
        <is>
          <t>HighAvailability</t>
        </is>
      </c>
      <c r="H52" s="2" t="inlineStr">
        <is>
          <t>Azure Database for MySQL - Single Server is on the retirement path</t>
        </is>
      </c>
      <c r="I52" s="2" t="inlineStr">
        <is>
          <t>High</t>
        </is>
      </c>
      <c r="J52" s="2" t="inlineStr">
        <is>
          <t>Azure Database for MySQL - Single Server is on the retirement path</t>
        </is>
      </c>
      <c r="K52" s="2" t="str">
        <f>HYPERLINK("https://learn.microsoft.com/azure/mysql/single-server/whats-happening-to-mysql-single-server","https://learn.microsoft.com/azure/mysql/single-server/whats-happening-to-mysql-single-server")</f>
      </c>
      <c r="L52" s="2" t="inlineStr">
        <is>
          <t>mysql-007</t>
        </is>
      </c>
    </row>
    <row r="53" s="3" customFormat="1">
      <c r="A53" s="3" t="inlineStr">
        <is>
          <t>N/A</t>
        </is>
      </c>
      <c r="B53" s="3" t="inlineStr">
        <is>
          <t>0</t>
        </is>
      </c>
      <c r="C53" s="3" t="inlineStr">
        <is>
          <t>Azure Service</t>
        </is>
      </c>
      <c r="D53" s="3" t="inlineStr">
        <is>
          <t>AZQR</t>
        </is>
      </c>
      <c r="E53" s="3" t="inlineStr">
        <is>
          <t>microsoft.dbformysql</t>
        </is>
      </c>
      <c r="F53" s="3" t="inlineStr">
        <is>
          <t>servers</t>
        </is>
      </c>
      <c r="G53" s="3" t="inlineStr">
        <is>
          <t>MonitoringAndAlerting</t>
        </is>
      </c>
      <c r="H53" s="3" t="inlineStr">
        <is>
          <t>Azure Database for MySQL - Single Server should have diagnostic settings enabled</t>
        </is>
      </c>
      <c r="I53" s="3" t="inlineStr">
        <is>
          <t>Low</t>
        </is>
      </c>
      <c r="J53" s="3" t="inlineStr">
        <is>
          <t/>
        </is>
      </c>
      <c r="K53" s="3" t="str">
        <f>HYPERLINK("https://learn.microsoft.com/en-us/azure/mysql/single-server/concepts-monitoring#server-logs","https://learn.microsoft.com/en-us/azure/mysql/single-server/concepts-monitoring#server-logs")</f>
      </c>
      <c r="L53" s="3" t="inlineStr">
        <is>
          <t>mysql-001</t>
        </is>
      </c>
    </row>
    <row r="54" s="2" customFormat="1">
      <c r="A54" s="2" t="inlineStr">
        <is>
          <t>N/A</t>
        </is>
      </c>
      <c r="B54" s="2" t="inlineStr">
        <is>
          <t>0</t>
        </is>
      </c>
      <c r="C54" s="2" t="inlineStr">
        <is>
          <t>Azure Service</t>
        </is>
      </c>
      <c r="D54" s="2" t="inlineStr">
        <is>
          <t>AOR</t>
        </is>
      </c>
      <c r="E54" s="2" t="inlineStr">
        <is>
          <t>Microsoft.Network</t>
        </is>
      </c>
      <c r="F54" s="2" t="inlineStr">
        <is>
          <t>virtualNetworks</t>
        </is>
      </c>
      <c r="G54" s="2" t="inlineStr">
        <is>
          <t>Governance</t>
        </is>
      </c>
      <c r="H54" s="2" t="inlineStr">
        <is>
          <t>Subnets without Connected Devices or Delegation</t>
        </is>
      </c>
      <c r="I54" s="2" t="inlineStr">
        <is>
          <t>Medium</t>
        </is>
      </c>
      <c r="J54" s="2" t="inlineStr">
        <is>
          <t xml:space="preserve">Subnets without Connected Devices or Delegation.
</t>
        </is>
      </c>
      <c r="K54" s="2" t="str">
        <f>HYPERLINK("https://learn.microsoft.com/azure/virtual-network/virtual-networks-overview","https://learn.microsoft.com/azure/virtual-network/virtual-networks-overview")</f>
      </c>
      <c r="L54" s="2" t="inlineStr">
        <is>
          <t>4b5c6d7e-8f9a-0b1c-2d3e-4f5a6b7c8d9e</t>
        </is>
      </c>
    </row>
    <row r="55" s="3" customFormat="1">
      <c r="A55" s="3" t="inlineStr">
        <is>
          <t>true</t>
        </is>
      </c>
      <c r="B55" s="3" t="inlineStr">
        <is>
          <t>0</t>
        </is>
      </c>
      <c r="C55" s="3" t="inlineStr">
        <is>
          <t>Azure Service</t>
        </is>
      </c>
      <c r="D55" s="3" t="inlineStr">
        <is>
          <t>AOR</t>
        </is>
      </c>
      <c r="E55" s="3" t="inlineStr">
        <is>
          <t>Microsoft.Network</t>
        </is>
      </c>
      <c r="F55" s="3" t="inlineStr">
        <is>
          <t>networkInterfaces</t>
        </is>
      </c>
      <c r="G55" s="3" t="inlineStr">
        <is>
          <t>Governance</t>
        </is>
      </c>
      <c r="H55" s="3" t="inlineStr">
        <is>
          <t>Network Interfaces not attached to any resource</t>
        </is>
      </c>
      <c r="I55" s="3" t="inlineStr">
        <is>
          <t>Medium</t>
        </is>
      </c>
      <c r="J55" s="3" t="inlineStr">
        <is>
          <t xml:space="preserve">Network Interfaces not attached to any resource.
</t>
        </is>
      </c>
      <c r="K55" s="3" t="str">
        <f>HYPERLINK("https://learn.microsoft.com/en-us/azure/virtual-network/ip-services/private-ip-addresses","https://learn.microsoft.com/en-us/azure/virtual-network/ip-services/private-ip-addresses")</f>
      </c>
      <c r="L55" s="3" t="inlineStr">
        <is>
          <t>6f7a8b9c-0d1e-2f3a-4b5c-6d7e8f9a0b1c</t>
        </is>
      </c>
    </row>
    <row r="56" s="2" customFormat="1">
      <c r="A56" s="2" t="inlineStr">
        <is>
          <t>N/A</t>
        </is>
      </c>
      <c r="B56" s="2" t="inlineStr">
        <is>
          <t>0</t>
        </is>
      </c>
      <c r="C56" s="2" t="inlineStr">
        <is>
          <t>Azure Service</t>
        </is>
      </c>
      <c r="D56" s="2" t="inlineStr">
        <is>
          <t>AZQR</t>
        </is>
      </c>
      <c r="E56" s="2" t="inlineStr">
        <is>
          <t>microsoft.kusto</t>
        </is>
      </c>
      <c r="F56" s="2" t="inlineStr">
        <is>
          <t>clusters</t>
        </is>
      </c>
      <c r="G56" s="2" t="inlineStr">
        <is>
          <t>MonitoringAndAlerting</t>
        </is>
      </c>
      <c r="H56" s="2" t="inlineStr">
        <is>
          <t>Azure Data Explorer should have diagnostic settings enabled</t>
        </is>
      </c>
      <c r="I56" s="2" t="inlineStr">
        <is>
          <t>Low</t>
        </is>
      </c>
      <c r="J56" s="2" t="inlineStr">
        <is>
          <t/>
        </is>
      </c>
      <c r="K56" s="2" t="str">
        <f>HYPERLINK("https://learn.microsoft.com/en-us/azure/data-explorer/using-diagnostic-logs","https://learn.microsoft.com/en-us/azure/data-explorer/using-diagnostic-logs")</f>
      </c>
      <c r="L56" s="2" t="inlineStr">
        <is>
          <t>dec-001</t>
        </is>
      </c>
    </row>
    <row r="57" s="3" customFormat="1">
      <c r="A57" s="3" t="inlineStr">
        <is>
          <t>N/A</t>
        </is>
      </c>
      <c r="B57" s="3" t="inlineStr">
        <is>
          <t>0</t>
        </is>
      </c>
      <c r="C57" s="3" t="inlineStr">
        <is>
          <t>Azure Service</t>
        </is>
      </c>
      <c r="D57" s="3" t="inlineStr">
        <is>
          <t>AZQR</t>
        </is>
      </c>
      <c r="E57" s="3" t="inlineStr">
        <is>
          <t>Microsoft.Kusto</t>
        </is>
      </c>
      <c r="F57" s="3" t="inlineStr">
        <is>
          <t>clusters</t>
        </is>
      </c>
      <c r="G57" s="3" t="inlineStr">
        <is>
          <t>HighAvailability</t>
        </is>
      </c>
      <c r="H57" s="3" t="inlineStr">
        <is>
          <t>Azure Data Explorer Production Cluster should not use Dev SKU</t>
        </is>
      </c>
      <c r="I57" s="3" t="inlineStr">
        <is>
          <t>High</t>
        </is>
      </c>
      <c r="J57" s="3" t="inlineStr">
        <is>
          <t>Azure Data Explorer Production Cluster should not use Dev SKU</t>
        </is>
      </c>
      <c r="K57" s="3" t="str">
        <f>HYPERLINK("https://learn.microsoft.com/azure/data-explorer/manage-cluster-choose-sku","https://learn.microsoft.com/azure/data-explorer/manage-cluster-choose-sku")</f>
      </c>
      <c r="L57" s="3" t="inlineStr">
        <is>
          <t>dec-003</t>
        </is>
      </c>
    </row>
    <row r="58" s="2" customFormat="1">
      <c r="A58" s="2" t="inlineStr">
        <is>
          <t>N/A</t>
        </is>
      </c>
      <c r="B58" s="2" t="inlineStr">
        <is>
          <t>0</t>
        </is>
      </c>
      <c r="C58" s="2" t="inlineStr">
        <is>
          <t>Azure Service</t>
        </is>
      </c>
      <c r="D58" s="2" t="inlineStr">
        <is>
          <t>AZQR</t>
        </is>
      </c>
      <c r="E58" s="2" t="inlineStr">
        <is>
          <t>Microsoft.Kusto</t>
        </is>
      </c>
      <c r="F58" s="2" t="inlineStr">
        <is>
          <t>clusters</t>
        </is>
      </c>
      <c r="G58" s="2" t="inlineStr">
        <is>
          <t>Security</t>
        </is>
      </c>
      <c r="H58" s="2" t="inlineStr">
        <is>
          <t>Azure Data Explorer should have private endpoints enabled</t>
        </is>
      </c>
      <c r="I58" s="2" t="inlineStr">
        <is>
          <t>High</t>
        </is>
      </c>
      <c r="J58" s="2" t="inlineStr">
        <is>
          <t>Azure Data Explorer should have private endpoints enabled</t>
        </is>
      </c>
      <c r="K58" s="2" t="str">
        <f>HYPERLINK("https://learn.microsoft.com/azure/data-explorer/security-network-private-endpoint","https://learn.microsoft.com/azure/data-explorer/security-network-private-endpoint")</f>
      </c>
      <c r="L58" s="2" t="inlineStr">
        <is>
          <t>dec-004</t>
        </is>
      </c>
    </row>
    <row r="59" s="3" customFormat="1">
      <c r="A59" s="3" t="inlineStr">
        <is>
          <t>N/A</t>
        </is>
      </c>
      <c r="B59" s="3" t="inlineStr">
        <is>
          <t>0</t>
        </is>
      </c>
      <c r="C59" s="3" t="inlineStr">
        <is>
          <t>Azure Service</t>
        </is>
      </c>
      <c r="D59" s="3" t="inlineStr">
        <is>
          <t>AZQR</t>
        </is>
      </c>
      <c r="E59" s="3" t="inlineStr">
        <is>
          <t>Microsoft.Kusto</t>
        </is>
      </c>
      <c r="F59" s="3" t="inlineStr">
        <is>
          <t>clusters</t>
        </is>
      </c>
      <c r="G59" s="3" t="inlineStr">
        <is>
          <t>Security</t>
        </is>
      </c>
      <c r="H59" s="3" t="inlineStr">
        <is>
          <t>Azure Data Explorer should use Disk Encryption</t>
        </is>
      </c>
      <c r="I59" s="3" t="inlineStr">
        <is>
          <t>High</t>
        </is>
      </c>
      <c r="J59" s="3" t="inlineStr">
        <is>
          <t>Azure Data Explorer should use Disk Encryption</t>
        </is>
      </c>
      <c r="K59" s="3" t="str">
        <f>HYPERLINK("https://learn.microsoft.com/azure/data-explorer/manage-cluster-security","https://learn.microsoft.com/azure/data-explorer/manage-cluster-security")</f>
      </c>
      <c r="L59" s="3" t="inlineStr">
        <is>
          <t>dec-008</t>
        </is>
      </c>
    </row>
    <row r="60" s="2" customFormat="1">
      <c r="A60" s="2" t="inlineStr">
        <is>
          <t>N/A</t>
        </is>
      </c>
      <c r="B60" s="2" t="inlineStr">
        <is>
          <t>0</t>
        </is>
      </c>
      <c r="C60" s="2" t="inlineStr">
        <is>
          <t>Azure Service</t>
        </is>
      </c>
      <c r="D60" s="2" t="inlineStr">
        <is>
          <t>AZQR</t>
        </is>
      </c>
      <c r="E60" s="2" t="inlineStr">
        <is>
          <t>Microsoft.Kusto</t>
        </is>
      </c>
      <c r="F60" s="2" t="inlineStr">
        <is>
          <t>clusters</t>
        </is>
      </c>
      <c r="G60" s="2" t="inlineStr">
        <is>
          <t>Security</t>
        </is>
      </c>
      <c r="H60" s="2" t="inlineStr">
        <is>
          <t>Azure Data Explorer should use Managed Identities</t>
        </is>
      </c>
      <c r="I60" s="2" t="inlineStr">
        <is>
          <t>Low</t>
        </is>
      </c>
      <c r="J60" s="2" t="inlineStr">
        <is>
          <t>Azure Data Explorer should use Managed Identities</t>
        </is>
      </c>
      <c r="K60" s="2" t="str">
        <f>HYPERLINK("https://learn.microsoft.com/azure/data-explorer/managed-identities","https://learn.microsoft.com/azure/data-explorer/managed-identities")</f>
      </c>
      <c r="L60" s="2" t="inlineStr">
        <is>
          <t>dec-009</t>
        </is>
      </c>
    </row>
    <row r="61" s="3" customFormat="1">
      <c r="A61" s="3" t="inlineStr">
        <is>
          <t>N/A</t>
        </is>
      </c>
      <c r="B61" s="3" t="inlineStr">
        <is>
          <t>0</t>
        </is>
      </c>
      <c r="C61" s="3" t="inlineStr">
        <is>
          <t>Azure Service</t>
        </is>
      </c>
      <c r="D61" s="3" t="inlineStr">
        <is>
          <t>APRL</t>
        </is>
      </c>
      <c r="E61" s="3" t="inlineStr">
        <is>
          <t>Microsoft.ServiceBus</t>
        </is>
      </c>
      <c r="F61" s="3" t="inlineStr">
        <is>
          <t>namespaces</t>
        </is>
      </c>
      <c r="G61" s="3" t="inlineStr">
        <is>
          <t>ServiceUpgradeAndRetirement</t>
        </is>
      </c>
      <c r="H61" s="3" t="inlineStr">
        <is>
          <t>Configure the minimum TLS version for Service Bus namespaces to TLS v1.2 or higher</t>
        </is>
      </c>
      <c r="I61" s="3" t="inlineStr">
        <is>
          <t>High</t>
        </is>
      </c>
      <c r="J61" s="3" t="inlineStr">
        <is>
          <t xml:space="preserve">As of 31 October 2024, TLS 1.0 and TLS 1.1 will no longer be supported on Azure including Service Bus to enhance security and provide best-in-class encryption for your data. Change the minimum TLS version for your Service Bus namespace to TLS v1.2 or higher.
</t>
        </is>
      </c>
      <c r="K61" s="3" t="str">
        <f>HYPERLINK("https://learn.microsoft.com/azure/service-bus-messaging/transport-layer-security-configure-minimum-version","https://learn.microsoft.com/azure/service-bus-messaging/transport-layer-security-configure-minimum-version")</f>
      </c>
      <c r="L61" s="3" t="inlineStr">
        <is>
          <t>f075a1bd-de9e-4819-9a1d-1ac41037a74f</t>
        </is>
      </c>
    </row>
    <row r="62" s="2" customFormat="1">
      <c r="A62" s="2" t="inlineStr">
        <is>
          <t>N/A</t>
        </is>
      </c>
      <c r="B62" s="2" t="inlineStr">
        <is>
          <t>0</t>
        </is>
      </c>
      <c r="C62" s="2" t="inlineStr">
        <is>
          <t>Azure Service</t>
        </is>
      </c>
      <c r="D62" s="2" t="inlineStr">
        <is>
          <t>AZQR</t>
        </is>
      </c>
      <c r="E62" s="2" t="inlineStr">
        <is>
          <t>microsoft.servicebus</t>
        </is>
      </c>
      <c r="F62" s="2" t="inlineStr">
        <is>
          <t>namespaces</t>
        </is>
      </c>
      <c r="G62" s="2" t="inlineStr">
        <is>
          <t>MonitoringAndAlerting</t>
        </is>
      </c>
      <c r="H62" s="2" t="inlineStr">
        <is>
          <t>Service Bus should have diagnostic settings enabled</t>
        </is>
      </c>
      <c r="I62" s="2" t="inlineStr">
        <is>
          <t>Low</t>
        </is>
      </c>
      <c r="J62" s="2" t="inlineStr">
        <is>
          <t/>
        </is>
      </c>
      <c r="K62" s="2" t="str">
        <f>HYPERLINK("https://learn.microsoft.com/en-us/azure/service-bus-messaging/monitor-service-bus#collection-and-routing","https://learn.microsoft.com/en-us/azure/service-bus-messaging/monitor-service-bus#collection-and-routing")</f>
      </c>
      <c r="L62" s="2" t="inlineStr">
        <is>
          <t>sb-001</t>
        </is>
      </c>
    </row>
    <row r="63" s="3" customFormat="1">
      <c r="A63" s="3" t="inlineStr">
        <is>
          <t>N/A</t>
        </is>
      </c>
      <c r="B63" s="3" t="inlineStr">
        <is>
          <t>0</t>
        </is>
      </c>
      <c r="C63" s="3" t="inlineStr">
        <is>
          <t>Azure Service</t>
        </is>
      </c>
      <c r="D63" s="3" t="inlineStr">
        <is>
          <t>AZQR</t>
        </is>
      </c>
      <c r="E63" s="3" t="inlineStr">
        <is>
          <t>Microsoft.ServiceBus</t>
        </is>
      </c>
      <c r="F63" s="3" t="inlineStr">
        <is>
          <t>namespaces</t>
        </is>
      </c>
      <c r="G63" s="3" t="inlineStr">
        <is>
          <t>Security</t>
        </is>
      </c>
      <c r="H63" s="3" t="inlineStr">
        <is>
          <t>Service Bus should have private endpoints enabled</t>
        </is>
      </c>
      <c r="I63" s="3" t="inlineStr">
        <is>
          <t>High</t>
        </is>
      </c>
      <c r="J63" s="3" t="inlineStr">
        <is>
          <t>Service Bus should have private endpoints enabled</t>
        </is>
      </c>
      <c r="K63" s="3" t="str">
        <f>HYPERLINK("https://learn.microsoft.com/azure/service-bus-messaging/private-link-service","https://learn.microsoft.com/azure/service-bus-messaging/private-link-service")</f>
      </c>
      <c r="L63" s="3" t="inlineStr">
        <is>
          <t>sb-004</t>
        </is>
      </c>
    </row>
    <row r="64" s="2" customFormat="1">
      <c r="A64" s="2" t="inlineStr">
        <is>
          <t>N/A</t>
        </is>
      </c>
      <c r="B64" s="2" t="inlineStr">
        <is>
          <t>0</t>
        </is>
      </c>
      <c r="C64" s="2" t="inlineStr">
        <is>
          <t>Azure Service</t>
        </is>
      </c>
      <c r="D64" s="2" t="inlineStr">
        <is>
          <t>AZQR</t>
        </is>
      </c>
      <c r="E64" s="2" t="inlineStr">
        <is>
          <t>Microsoft.ServiceBus</t>
        </is>
      </c>
      <c r="F64" s="2" t="inlineStr">
        <is>
          <t>namespaces</t>
        </is>
      </c>
      <c r="G64" s="2" t="inlineStr">
        <is>
          <t>Security</t>
        </is>
      </c>
      <c r="H64" s="2" t="inlineStr">
        <is>
          <t>Service Bus should have local authentication disabled</t>
        </is>
      </c>
      <c r="I64" s="2" t="inlineStr">
        <is>
          <t>Medium</t>
        </is>
      </c>
      <c r="J64" s="2" t="inlineStr">
        <is>
          <t>Service Bus should have local authentication disabled</t>
        </is>
      </c>
      <c r="K64" s="2" t="str">
        <f>HYPERLINK("https://learn.microsoft.com/azure/service-bus-messaging/disable-local-authentication","https://learn.microsoft.com/azure/service-bus-messaging/disable-local-authentication")</f>
      </c>
      <c r="L64" s="2" t="inlineStr">
        <is>
          <t>sb-008</t>
        </is>
      </c>
    </row>
    <row r="65" s="3" customFormat="1">
      <c r="A65" s="3" t="inlineStr">
        <is>
          <t>true</t>
        </is>
      </c>
      <c r="B65" s="3" t="inlineStr">
        <is>
          <t>0</t>
        </is>
      </c>
      <c r="C65" s="3" t="inlineStr">
        <is>
          <t>Azure Service</t>
        </is>
      </c>
      <c r="D65" s="3" t="inlineStr">
        <is>
          <t>AZQR</t>
        </is>
      </c>
      <c r="E65" s="3" t="inlineStr">
        <is>
          <t>Microsoft.Sql</t>
        </is>
      </c>
      <c r="F65" s="3" t="inlineStr">
        <is>
          <t>servers</t>
        </is>
      </c>
      <c r="G65" s="3" t="inlineStr">
        <is>
          <t>Security</t>
        </is>
      </c>
      <c r="H65" s="3" t="inlineStr">
        <is>
          <t>SQL should enforce TLS &gt;= 1.2</t>
        </is>
      </c>
      <c r="I65" s="3" t="inlineStr">
        <is>
          <t>Low</t>
        </is>
      </c>
      <c r="J65" s="3" t="inlineStr">
        <is>
          <t>SQL servers should enforce TLS 1.2 or higher to ensure secure encrypted connections to the database.</t>
        </is>
      </c>
      <c r="K65" s="3" t="str">
        <f>HYPERLINK("https://learn.microsoft.com/en-us/azure/azure-sql/database/connectivity-settings?view=azuresql&amp;tabs=azure-portal#minimal-tls-version","https://learn.microsoft.com/en-us/azure/azure-sql/database/connectivity-settings?view=azuresql&amp;tabs=azure-portal#minimal-tls-version")</f>
      </c>
      <c r="L65" s="3" t="inlineStr">
        <is>
          <t>sql-008</t>
        </is>
      </c>
    </row>
    <row r="66" s="2" customFormat="1">
      <c r="A66" s="2" t="inlineStr">
        <is>
          <t>true</t>
        </is>
      </c>
      <c r="B66" s="2" t="inlineStr">
        <is>
          <t>0</t>
        </is>
      </c>
      <c r="C66" s="2" t="inlineStr">
        <is>
          <t>Azure Service</t>
        </is>
      </c>
      <c r="D66" s="2" t="inlineStr">
        <is>
          <t>AZQR</t>
        </is>
      </c>
      <c r="E66" s="2" t="inlineStr">
        <is>
          <t>Microsoft.Sql</t>
        </is>
      </c>
      <c r="F66" s="2" t="inlineStr">
        <is>
          <t>servers</t>
        </is>
      </c>
      <c r="G66" s="2" t="inlineStr">
        <is>
          <t>Security</t>
        </is>
      </c>
      <c r="H66" s="2" t="inlineStr">
        <is>
          <t>SQL should have private endpoints enabled</t>
        </is>
      </c>
      <c r="I66" s="2" t="inlineStr">
        <is>
          <t>High</t>
        </is>
      </c>
      <c r="J66" s="2" t="inlineStr">
        <is>
          <t>SQL servers should have private endpoints enabled to secure database access and prevent exposure to the public internet.</t>
        </is>
      </c>
      <c r="K66" s="2" t="str">
        <f>HYPERLINK("https://learn.microsoft.com/en-us/azure/azure-sql/database/private-endpoint-overview","https://learn.microsoft.com/en-us/azure/azure-sql/database/private-endpoint-overview")</f>
      </c>
      <c r="L66" s="2" t="inlineStr">
        <is>
          <t>sql-004</t>
        </is>
      </c>
    </row>
    <row r="67" s="3" customFormat="1">
      <c r="A67" s="3" t="inlineStr">
        <is>
          <t>N/A</t>
        </is>
      </c>
      <c r="B67" s="3" t="inlineStr">
        <is>
          <t>0</t>
        </is>
      </c>
      <c r="C67" s="3" t="inlineStr">
        <is>
          <t>Azure Service</t>
        </is>
      </c>
      <c r="D67" s="3" t="inlineStr">
        <is>
          <t>APRL</t>
        </is>
      </c>
      <c r="E67" s="3" t="inlineStr">
        <is>
          <t>Microsoft.Subscription</t>
        </is>
      </c>
      <c r="F67" s="3" t="inlineStr">
        <is>
          <t>Subscriptions</t>
        </is>
      </c>
      <c r="G67" s="3" t="inlineStr">
        <is>
          <t>OtherBestPractices</t>
        </is>
      </c>
      <c r="H67" s="3" t="inlineStr">
        <is>
          <t>Do not create more than 4000 Citrix VDA servers per subscription</t>
        </is>
      </c>
      <c r="I67" s="3" t="inlineStr">
        <is>
          <t>High</t>
        </is>
      </c>
      <c r="J67" s="3" t="inlineStr">
        <is>
          <t xml:space="preserve">A Citrix Managed Azure subscription supports VMs with VDA for app/desktop delivery, excluding other machines like Cloud Connectors. When close to the limit, signaled by a dashboard notification, and with sufficient licenses, request another subscription. Can't exceed the given limits for catalogs.
</t>
        </is>
      </c>
      <c r="K67" s="3" t="str">
        <f>HYPERLINK("https://docs.citrix.com/en-us/citrix-daas-azure/limits","https://docs.citrix.com/en-us/citrix-daas-azure/limits")</f>
      </c>
      <c r="L67" s="3" t="inlineStr">
        <is>
          <t>c041d596-6c97-4c5f-b4b3-9cd37628f2e2</t>
        </is>
      </c>
    </row>
    <row r="68" s="2" customFormat="1">
      <c r="A68" s="2" t="inlineStr">
        <is>
          <t>N/A</t>
        </is>
      </c>
      <c r="B68" s="2" t="inlineStr">
        <is>
          <t>0</t>
        </is>
      </c>
      <c r="C68" s="2" t="inlineStr">
        <is>
          <t>Azure Service</t>
        </is>
      </c>
      <c r="D68" s="2" t="inlineStr">
        <is>
          <t>APRL</t>
        </is>
      </c>
      <c r="E68" s="2" t="inlineStr">
        <is>
          <t>Microsoft.Subscription</t>
        </is>
      </c>
      <c r="F68" s="2" t="inlineStr">
        <is>
          <t>Subscriptions</t>
        </is>
      </c>
      <c r="G68" s="2" t="inlineStr">
        <is>
          <t>MonitoringAndAlerting</t>
        </is>
      </c>
      <c r="H68" s="2" t="inlineStr">
        <is>
          <t>Configure Service Health Alerts</t>
        </is>
      </c>
      <c r="I68" s="2" t="inlineStr">
        <is>
          <t>High</t>
        </is>
      </c>
      <c r="J68" s="2" t="inlineStr">
        <is>
          <t xml:space="preserve">Service health gives a personalized health view of Azure services and regions used, offering the best place for notifications on outages, planned maintenance, and health advisories by knowing the services used.
</t>
        </is>
      </c>
      <c r="K68" s="2" t="str">
        <f>HYPERLINK("https://learn.microsoft.com/azure/service-health/alerts-activity-log-service-notifications-portal","https://learn.microsoft.com/azure/service-health/alerts-activity-log-service-notifications-portal")</f>
      </c>
      <c r="L68" s="2" t="inlineStr">
        <is>
          <t>9729c89d-8118-41b4-a39b-e12468fa872b</t>
        </is>
      </c>
    </row>
    <row r="69" s="3" customFormat="1">
      <c r="A69" s="3" t="inlineStr">
        <is>
          <t>N/A</t>
        </is>
      </c>
      <c r="B69" s="3" t="inlineStr">
        <is>
          <t>0</t>
        </is>
      </c>
      <c r="C69" s="3" t="inlineStr">
        <is>
          <t>Azure Service</t>
        </is>
      </c>
      <c r="D69" s="3" t="inlineStr">
        <is>
          <t>APRL</t>
        </is>
      </c>
      <c r="E69" s="3" t="inlineStr">
        <is>
          <t>Microsoft.DesktopVirtualization</t>
        </is>
      </c>
      <c r="F69" s="3" t="inlineStr">
        <is>
          <t>hostPools</t>
        </is>
      </c>
      <c r="G69" s="3" t="inlineStr">
        <is>
          <t>OtherBestPractices</t>
        </is>
      </c>
      <c r="H69" s="3" t="inlineStr">
        <is>
          <t>Configure host pool scheduled agent updates</t>
        </is>
      </c>
      <c r="I69" s="3" t="inlineStr">
        <is>
          <t>Medium</t>
        </is>
      </c>
      <c r="J69" s="3" t="inlineStr">
        <is>
          <t xml:space="preserve">Create up to two maintenance windows for the Azure Virtual Desktop agent, side-by-side stack, and Geneva Monitoring agent to get updated so that updates don't happen during peak business hours.
</t>
        </is>
      </c>
      <c r="K69" s="3" t="str">
        <f>HYPERLINK("https://learn.microsoft.com/azure/virtual-desktop/scheduled-agent-updates","https://learn.microsoft.com/azure/virtual-desktop/scheduled-agent-updates")</f>
      </c>
      <c r="L69" s="3" t="inlineStr">
        <is>
          <t>979ff8be-5f3a-4d8e-9aa3-407ecdd6d6f7</t>
        </is>
      </c>
    </row>
    <row r="70" s="2" customFormat="1">
      <c r="A70" s="2" t="inlineStr">
        <is>
          <t>N/A</t>
        </is>
      </c>
      <c r="B70" s="2" t="inlineStr">
        <is>
          <t>0</t>
        </is>
      </c>
      <c r="C70" s="2" t="inlineStr">
        <is>
          <t>Azure Service</t>
        </is>
      </c>
      <c r="D70" s="2" t="inlineStr">
        <is>
          <t>AZQR</t>
        </is>
      </c>
      <c r="E70" s="2" t="inlineStr">
        <is>
          <t>Microsoft.ApiManagement</t>
        </is>
      </c>
      <c r="F70" s="2" t="inlineStr">
        <is>
          <t>service</t>
        </is>
      </c>
      <c r="G70" s="2" t="inlineStr">
        <is>
          <t>Security</t>
        </is>
      </c>
      <c r="H70" s="2" t="inlineStr">
        <is>
          <t>APIM should only accept a minimum of TLS 1.2</t>
        </is>
      </c>
      <c r="I70" s="2" t="inlineStr">
        <is>
          <t>High</t>
        </is>
      </c>
      <c r="J70" s="2" t="inlineStr">
        <is>
          <t>APIM should only accept a minimum of TLS 1.2</t>
        </is>
      </c>
      <c r="K70" s="2" t="str">
        <f>HYPERLINK("https://learn.microsoft.com/azure/api-management/api-management-howto-manage-protocols-ciphers","https://learn.microsoft.com/azure/api-management/api-management-howto-manage-protocols-ciphers")</f>
      </c>
      <c r="L70" s="2" t="inlineStr">
        <is>
          <t>apim-009</t>
        </is>
      </c>
    </row>
    <row r="71" s="3" customFormat="1">
      <c r="A71" s="3" t="inlineStr">
        <is>
          <t>N/A</t>
        </is>
      </c>
      <c r="B71" s="3" t="inlineStr">
        <is>
          <t>0</t>
        </is>
      </c>
      <c r="C71" s="3" t="inlineStr">
        <is>
          <t>Azure Service</t>
        </is>
      </c>
      <c r="D71" s="3" t="inlineStr">
        <is>
          <t>APRL</t>
        </is>
      </c>
      <c r="E71" s="3" t="inlineStr">
        <is>
          <t>Microsoft.ApiManagement</t>
        </is>
      </c>
      <c r="F71" s="3" t="inlineStr">
        <is>
          <t>service</t>
        </is>
      </c>
      <c r="G71" s="3" t="inlineStr">
        <is>
          <t>HighAvailability</t>
        </is>
      </c>
      <c r="H71" s="3" t="inlineStr">
        <is>
          <t>Migrate API Management services to Premium SKU to support Availability Zones</t>
        </is>
      </c>
      <c r="I71" s="3" t="inlineStr">
        <is>
          <t>High</t>
        </is>
      </c>
      <c r="J71" s="3" t="inlineStr">
        <is>
          <t xml:space="preserve">Upgrading the API Management instance to the Premium SKU adds support for Availability Zones, enhancing availability and resilience by distributing services across physically separate locations within Azure regions.
</t>
        </is>
      </c>
      <c r="K71" s="3" t="str">
        <f>HYPERLINK("https://learn.microsoft.com/azure/api-management/upgrade-and-scale#change-your-api-management-service-tier","https://learn.microsoft.com/azure/api-management/upgrade-and-scale#change-your-api-management-service-tier")</f>
      </c>
      <c r="L71" s="3" t="inlineStr">
        <is>
          <t>baf3bfc0-32a2-4c0c-926d-c9bf0b49808e</t>
        </is>
      </c>
    </row>
    <row r="72" s="2" customFormat="1">
      <c r="A72" s="2" t="inlineStr">
        <is>
          <t>N/A</t>
        </is>
      </c>
      <c r="B72" s="2" t="inlineStr">
        <is>
          <t>0</t>
        </is>
      </c>
      <c r="C72" s="2" t="inlineStr">
        <is>
          <t>Azure Service</t>
        </is>
      </c>
      <c r="D72" s="2" t="inlineStr">
        <is>
          <t>AZQR</t>
        </is>
      </c>
      <c r="E72" s="2" t="inlineStr">
        <is>
          <t>Microsoft.ApiManagement</t>
        </is>
      </c>
      <c r="F72" s="2" t="inlineStr">
        <is>
          <t>service</t>
        </is>
      </c>
      <c r="G72" s="2" t="inlineStr">
        <is>
          <t>Security</t>
        </is>
      </c>
      <c r="H72" s="2" t="inlineStr">
        <is>
          <t>APIM should have private endpoints enabled</t>
        </is>
      </c>
      <c r="I72" s="2" t="inlineStr">
        <is>
          <t>High</t>
        </is>
      </c>
      <c r="J72" s="2" t="inlineStr">
        <is>
          <t>APIM should have private endpoints enabled</t>
        </is>
      </c>
      <c r="K72" s="2" t="str">
        <f>HYPERLINK("https://learn.microsoft.com/azure/api-management/private-endpoint","https://learn.microsoft.com/azure/api-management/private-endpoint")</f>
      </c>
      <c r="L72" s="2" t="inlineStr">
        <is>
          <t>apim-004</t>
        </is>
      </c>
    </row>
    <row r="73" s="3" customFormat="1">
      <c r="A73" s="3" t="inlineStr">
        <is>
          <t>N/A</t>
        </is>
      </c>
      <c r="B73" s="3" t="inlineStr">
        <is>
          <t>0</t>
        </is>
      </c>
      <c r="C73" s="3" t="inlineStr">
        <is>
          <t>Azure Service</t>
        </is>
      </c>
      <c r="D73" s="3" t="inlineStr">
        <is>
          <t>AZQR</t>
        </is>
      </c>
      <c r="E73" s="3" t="inlineStr">
        <is>
          <t>Microsoft.ApiManagement</t>
        </is>
      </c>
      <c r="F73" s="3" t="inlineStr">
        <is>
          <t>service</t>
        </is>
      </c>
      <c r="G73" s="3" t="inlineStr">
        <is>
          <t>Security</t>
        </is>
      </c>
      <c r="H73" s="3" t="inlineStr">
        <is>
          <t>APIM should should not accept weak or deprecated ciphers.</t>
        </is>
      </c>
      <c r="I73" s="3" t="inlineStr">
        <is>
          <t>High</t>
        </is>
      </c>
      <c r="J73" s="3" t="inlineStr">
        <is>
          <t>APIM should should not accept weak or deprecated ciphers.</t>
        </is>
      </c>
      <c r="K73" s="3" t="str">
        <f>HYPERLINK("https://learn.microsoft.com/azure/api-management/api-management-howto-manage-protocols-ciphers","https://learn.microsoft.com/azure/api-management/api-management-howto-manage-protocols-ciphers")</f>
      </c>
      <c r="L73" s="3" t="inlineStr">
        <is>
          <t>apim-010</t>
        </is>
      </c>
    </row>
    <row r="74" s="2" customFormat="1">
      <c r="A74" s="2" t="inlineStr">
        <is>
          <t>N/A</t>
        </is>
      </c>
      <c r="B74" s="2" t="inlineStr">
        <is>
          <t>0</t>
        </is>
      </c>
      <c r="C74" s="2" t="inlineStr">
        <is>
          <t>Azure Service</t>
        </is>
      </c>
      <c r="D74" s="2" t="inlineStr">
        <is>
          <t>APRL</t>
        </is>
      </c>
      <c r="E74" s="2" t="inlineStr">
        <is>
          <t>Microsoft.ApiManagement</t>
        </is>
      </c>
      <c r="F74" s="2" t="inlineStr">
        <is>
          <t>service</t>
        </is>
      </c>
      <c r="G74" s="2" t="inlineStr">
        <is>
          <t>HighAvailability</t>
        </is>
      </c>
      <c r="H74" s="2" t="inlineStr">
        <is>
          <t>Enable Availability Zones on Premium API Management instances</t>
        </is>
      </c>
      <c r="I74" s="2" t="inlineStr">
        <is>
          <t>High</t>
        </is>
      </c>
      <c r="J74" s="2" t="inlineStr">
        <is>
          <t xml:space="preserve">Zone redundancy for APIM instances ensures the gateway and control plane (Management API, developer portal, Git configuration) are replicated across datacenters in physically separated zones, boosting resilience to zone failures.
</t>
        </is>
      </c>
      <c r="K74" s="2" t="str">
        <f>HYPERLINK("https://learn.microsoft.com/azure/api-management/high-availability#availability-zones","https://learn.microsoft.com/azure/api-management/high-availability#availability-zones")</f>
      </c>
      <c r="L74" s="2" t="inlineStr">
        <is>
          <t>740f2c1c-8857-4648-80eb-47d2c56d5a50</t>
        </is>
      </c>
    </row>
    <row r="75" s="3" customFormat="1">
      <c r="A75" s="3" t="inlineStr">
        <is>
          <t>N/A</t>
        </is>
      </c>
      <c r="B75" s="3" t="inlineStr">
        <is>
          <t>0</t>
        </is>
      </c>
      <c r="C75" s="3" t="inlineStr">
        <is>
          <t>Azure Service</t>
        </is>
      </c>
      <c r="D75" s="3" t="inlineStr">
        <is>
          <t>AZQR</t>
        </is>
      </c>
      <c r="E75" s="3" t="inlineStr">
        <is>
          <t>Microsoft.ApiManagement</t>
        </is>
      </c>
      <c r="F75" s="3" t="inlineStr">
        <is>
          <t>service</t>
        </is>
      </c>
      <c r="G75" s="3" t="inlineStr">
        <is>
          <t>Security</t>
        </is>
      </c>
      <c r="H75" s="3" t="inlineStr">
        <is>
          <t>APIM should use Managed Identities</t>
        </is>
      </c>
      <c r="I75" s="3" t="inlineStr">
        <is>
          <t>Medium</t>
        </is>
      </c>
      <c r="J75" s="3" t="inlineStr">
        <is>
          <t>APIM should use Managed Identities</t>
        </is>
      </c>
      <c r="K75" s="3" t="str">
        <f>HYPERLINK("https://learn.microsoft.com/azure/api-management/api-management-howto-use-managed-service-identity","https://learn.microsoft.com/azure/api-management/api-management-howto-use-managed-service-identity")</f>
      </c>
      <c r="L75" s="3" t="inlineStr">
        <is>
          <t>apim-008</t>
        </is>
      </c>
    </row>
    <row r="76" s="2" customFormat="1">
      <c r="A76" s="2" t="inlineStr">
        <is>
          <t>N/A</t>
        </is>
      </c>
      <c r="B76" s="2" t="inlineStr">
        <is>
          <t>0</t>
        </is>
      </c>
      <c r="C76" s="2" t="inlineStr">
        <is>
          <t>Azure Service</t>
        </is>
      </c>
      <c r="D76" s="2" t="inlineStr">
        <is>
          <t>APRL</t>
        </is>
      </c>
      <c r="E76" s="2" t="inlineStr">
        <is>
          <t>Microsoft.ApiManagement</t>
        </is>
      </c>
      <c r="F76" s="2" t="inlineStr">
        <is>
          <t>service</t>
        </is>
      </c>
      <c r="G76" s="2" t="inlineStr">
        <is>
          <t>HighAvailability</t>
        </is>
      </c>
      <c r="H76" s="2" t="inlineStr">
        <is>
          <t>Azure API Management platform version should be stv2</t>
        </is>
      </c>
      <c r="I76" s="2" t="inlineStr">
        <is>
          <t>High</t>
        </is>
      </c>
      <c r="J76" s="2" t="inlineStr">
        <is>
          <t xml:space="preserve">stv1 instances were deprecated on August 31, 2024. If not migrated to stv2 by then, auto-migration will occur. In some cases, due to technical limitations, services may be shut down in March 2025.
</t>
        </is>
      </c>
      <c r="K76" s="2" t="str">
        <f>HYPERLINK("https://learn.microsoft.com/azure/api-management/breaking-changes/stv1-platform-retirement-august-2024","https://learn.microsoft.com/azure/api-management/breaking-changes/stv1-platform-retirement-august-2024")</f>
      </c>
      <c r="L76" s="2" t="inlineStr">
        <is>
          <t>e35cf148-8eee-49d1-a1c9-956160f99e0b</t>
        </is>
      </c>
    </row>
    <row r="77" s="3" customFormat="1">
      <c r="A77" s="3" t="inlineStr">
        <is>
          <t>N/A</t>
        </is>
      </c>
      <c r="B77" s="3" t="inlineStr">
        <is>
          <t>0</t>
        </is>
      </c>
      <c r="C77" s="3" t="inlineStr">
        <is>
          <t>Azure Service</t>
        </is>
      </c>
      <c r="D77" s="3" t="inlineStr">
        <is>
          <t>AZQR</t>
        </is>
      </c>
      <c r="E77" s="3" t="inlineStr">
        <is>
          <t>Microsoft.ApiManagement</t>
        </is>
      </c>
      <c r="F77" s="3" t="inlineStr">
        <is>
          <t>service</t>
        </is>
      </c>
      <c r="G77" s="3" t="inlineStr">
        <is>
          <t>Security</t>
        </is>
      </c>
      <c r="H77" s="3" t="inlineStr">
        <is>
          <t>APIM: Renew expiring certificates</t>
        </is>
      </c>
      <c r="I77" s="3" t="inlineStr">
        <is>
          <t>High</t>
        </is>
      </c>
      <c r="J77" s="3" t="inlineStr">
        <is>
          <t>APIM: Renew expiring certificates</t>
        </is>
      </c>
      <c r="K77" s="3" t="str">
        <f>HYPERLINK("https://learn.microsoft.com/azure/api-management/configure-custom-domain","https://learn.microsoft.com/azure/api-management/configure-custom-domain")</f>
      </c>
      <c r="L77" s="3" t="inlineStr">
        <is>
          <t>apim-011</t>
        </is>
      </c>
    </row>
    <row r="78" s="2" customFormat="1">
      <c r="A78" s="2" t="inlineStr">
        <is>
          <t>N/A</t>
        </is>
      </c>
      <c r="B78" s="2" t="inlineStr">
        <is>
          <t>0</t>
        </is>
      </c>
      <c r="C78" s="2" t="inlineStr">
        <is>
          <t>Azure Service</t>
        </is>
      </c>
      <c r="D78" s="2" t="inlineStr">
        <is>
          <t>AZQR</t>
        </is>
      </c>
      <c r="E78" s="2" t="inlineStr">
        <is>
          <t>microsoft.apimanagement</t>
        </is>
      </c>
      <c r="F78" s="2" t="inlineStr">
        <is>
          <t>service</t>
        </is>
      </c>
      <c r="G78" s="2" t="inlineStr">
        <is>
          <t>MonitoringAndAlerting</t>
        </is>
      </c>
      <c r="H78" s="2" t="inlineStr">
        <is>
          <t>APIM should have diagnostic settings enabled</t>
        </is>
      </c>
      <c r="I78" s="2" t="inlineStr">
        <is>
          <t>Low</t>
        </is>
      </c>
      <c r="J78" s="2" t="inlineStr">
        <is>
          <t/>
        </is>
      </c>
      <c r="K78" s="2" t="str">
        <f>HYPERLINK("https://learn.microsoft.com/en-us/azure/api-management/api-management-howto-use-azure-monitor#resource-logs","https://learn.microsoft.com/en-us/azure/api-management/api-management-howto-use-azure-monitor#resource-logs")</f>
      </c>
      <c r="L78" s="2" t="inlineStr">
        <is>
          <t>apim-001</t>
        </is>
      </c>
    </row>
    <row r="79" s="3" customFormat="1">
      <c r="A79" s="3" t="inlineStr">
        <is>
          <t>N/A</t>
        </is>
      </c>
      <c r="B79" s="3" t="inlineStr">
        <is>
          <t>0</t>
        </is>
      </c>
      <c r="C79" s="3" t="inlineStr">
        <is>
          <t>Azure Service</t>
        </is>
      </c>
      <c r="D79" s="3" t="inlineStr">
        <is>
          <t>APRL</t>
        </is>
      </c>
      <c r="E79" s="3" t="inlineStr">
        <is>
          <t>Microsoft.Network</t>
        </is>
      </c>
      <c r="F79" s="3" t="inlineStr">
        <is>
          <t>p2sVpnGateways</t>
        </is>
      </c>
      <c r="G79" s="3" t="inlineStr">
        <is>
          <t>MonitoringAndAlerting</t>
        </is>
      </c>
      <c r="H79" s="3" t="inlineStr">
        <is>
          <t>Monitor health for v-Hub's Point-to-Site VPN gateways</t>
        </is>
      </c>
      <c r="I79" s="3" t="inlineStr">
        <is>
          <t>High</t>
        </is>
      </c>
      <c r="J79" s="3" t="inlineStr">
        <is>
          <t xml:space="preserve">Set up monitoring and alerts for Point-to-Site VPN gateways. Create alert rule for ensuring promptly response to critical events such as Gateway over utilization, connection count limits and User VPN route limits. Mission Critical workloads should use dual ExpressRoutes instead of VPN.
</t>
        </is>
      </c>
      <c r="K79" s="3" t="str">
        <f>HYPERLINK("https://learn.microsoft.com/azure/virtual-wan/monitoring-best-practices#point-to-site-vpn-gateway","https://learn.microsoft.com/azure/virtual-wan/monitoring-best-practices#point-to-site-vpn-gateway")</f>
      </c>
      <c r="L79" s="3" t="inlineStr">
        <is>
          <t>fd43ea32-2ccf-49a8-ada4-9a78794e3ff1</t>
        </is>
      </c>
    </row>
    <row r="80" s="2" customFormat="1">
      <c r="A80" s="2" t="inlineStr">
        <is>
          <t>N/A</t>
        </is>
      </c>
      <c r="B80" s="2" t="inlineStr">
        <is>
          <t>0</t>
        </is>
      </c>
      <c r="C80" s="2" t="inlineStr">
        <is>
          <t>Azure Service</t>
        </is>
      </c>
      <c r="D80" s="2" t="inlineStr">
        <is>
          <t>AZQR</t>
        </is>
      </c>
      <c r="E80" s="2" t="inlineStr">
        <is>
          <t>microsoft.network</t>
        </is>
      </c>
      <c r="F80" s="2" t="inlineStr">
        <is>
          <t>trafficmanagerprofiles</t>
        </is>
      </c>
      <c r="G80" s="2" t="inlineStr">
        <is>
          <t>MonitoringAndAlerting</t>
        </is>
      </c>
      <c r="H80" s="2" t="inlineStr">
        <is>
          <t>Traffic Manager should have diagnostic settings enabled</t>
        </is>
      </c>
      <c r="I80" s="2" t="inlineStr">
        <is>
          <t>Low</t>
        </is>
      </c>
      <c r="J80" s="2" t="inlineStr">
        <is>
          <t/>
        </is>
      </c>
      <c r="K80" s="2" t="str">
        <f>HYPERLINK("https://learn.microsoft.com/en-us/azure/traffic-manager/traffic-manager-diagnostic-logs","https://learn.microsoft.com/en-us/azure/traffic-manager/traffic-manager-diagnostic-logs")</f>
      </c>
      <c r="L80" s="2" t="inlineStr">
        <is>
          <t>traf-001</t>
        </is>
      </c>
    </row>
    <row r="81" s="3" customFormat="1">
      <c r="A81" s="3" t="inlineStr">
        <is>
          <t>N/A</t>
        </is>
      </c>
      <c r="B81" s="3" t="inlineStr">
        <is>
          <t>0</t>
        </is>
      </c>
      <c r="C81" s="3" t="inlineStr">
        <is>
          <t>Azure Service</t>
        </is>
      </c>
      <c r="D81" s="3" t="inlineStr">
        <is>
          <t>APRL</t>
        </is>
      </c>
      <c r="E81" s="3" t="inlineStr">
        <is>
          <t>Microsoft.Network</t>
        </is>
      </c>
      <c r="F81" s="3" t="inlineStr">
        <is>
          <t>trafficManagerProfiles</t>
        </is>
      </c>
      <c r="G81" s="3" t="inlineStr">
        <is>
          <t>HighAvailability</t>
        </is>
      </c>
      <c r="H81" s="3" t="inlineStr">
        <is>
          <t>Traffic Manager Monitor Status Should be Online</t>
        </is>
      </c>
      <c r="I81" s="3" t="inlineStr">
        <is>
          <t>High</t>
        </is>
      </c>
      <c r="J81" s="3" t="inlineStr">
        <is>
          <t xml:space="preserve">Monitor status should be online to ensure failover for application workload. If Traffic Manager's health shows Degraded, one or more endpoints may also be Degraded.
</t>
        </is>
      </c>
      <c r="K81" s="3" t="str">
        <f>HYPERLINK("https://learn.microsoft.com/azure/traffic-manager/traffic-manager-monitoring","https://learn.microsoft.com/azure/traffic-manager/traffic-manager-monitoring")</f>
      </c>
      <c r="L81" s="3" t="inlineStr">
        <is>
          <t>f05a3e6d-49db-2740-88e2-2b13706c1f67</t>
        </is>
      </c>
    </row>
    <row r="82" s="2" customFormat="1">
      <c r="A82" s="2" t="inlineStr">
        <is>
          <t>N/A</t>
        </is>
      </c>
      <c r="B82" s="2" t="inlineStr">
        <is>
          <t>0</t>
        </is>
      </c>
      <c r="C82" s="2" t="inlineStr">
        <is>
          <t>Azure Service</t>
        </is>
      </c>
      <c r="D82" s="2" t="inlineStr">
        <is>
          <t>APRL</t>
        </is>
      </c>
      <c r="E82" s="2" t="inlineStr">
        <is>
          <t>Microsoft.Network</t>
        </is>
      </c>
      <c r="F82" s="2" t="inlineStr">
        <is>
          <t>trafficManagerProfiles</t>
        </is>
      </c>
      <c r="G82" s="2" t="inlineStr">
        <is>
          <t>HighAvailability</t>
        </is>
      </c>
      <c r="H82" s="2" t="inlineStr">
        <is>
          <t>Traffic manager profiles should have more than one endpoint</t>
        </is>
      </c>
      <c r="I82" s="2" t="inlineStr">
        <is>
          <t>Medium</t>
        </is>
      </c>
      <c r="J82" s="2" t="inlineStr">
        <is>
          <t xml:space="preserve">When configuring the Azure traffic manager, provision at least two endpoints to ensure workloads can fail-over to another instance, enhancing reliability and availability.
</t>
        </is>
      </c>
      <c r="K82" s="2" t="str">
        <f>HYPERLINK("https://learn.microsoft.com/azure/traffic-manager/traffic-manager-endpoint-types","https://learn.microsoft.com/azure/traffic-manager/traffic-manager-endpoint-types")</f>
      </c>
      <c r="L82" s="2" t="inlineStr">
        <is>
          <t>5b422a7f-8caa-3d48-becb-511599e5bba9</t>
        </is>
      </c>
    </row>
    <row r="83" s="3" customFormat="1">
      <c r="A83" s="3" t="inlineStr">
        <is>
          <t>N/A</t>
        </is>
      </c>
      <c r="B83" s="3" t="inlineStr">
        <is>
          <t>0</t>
        </is>
      </c>
      <c r="C83" s="3" t="inlineStr">
        <is>
          <t>Azure Service</t>
        </is>
      </c>
      <c r="D83" s="3" t="inlineStr">
        <is>
          <t>APRL</t>
        </is>
      </c>
      <c r="E83" s="3" t="inlineStr">
        <is>
          <t>Microsoft.Network</t>
        </is>
      </c>
      <c r="F83" s="3" t="inlineStr">
        <is>
          <t>trafficManagerProfiles</t>
        </is>
      </c>
      <c r="G83" s="3" t="inlineStr">
        <is>
          <t>DisasterRecovery</t>
        </is>
      </c>
      <c r="H83" s="3" t="inlineStr">
        <is>
          <t>Ensure endpoint configured to (All World) for geographic profiles</t>
        </is>
      </c>
      <c r="I83" s="3" t="inlineStr">
        <is>
          <t>High</t>
        </is>
      </c>
      <c r="J83" s="3" t="inlineStr">
        <is>
          <t xml:space="preserve">For geographic routing, traffic is directed to endpoints based on specific regions. If a region fails, without a predefined failover, configuring an endpoint to "All (World)" for geographic profiles can prevent traffic black holes, ensuring service remains available.
</t>
        </is>
      </c>
      <c r="K83" s="3" t="str">
        <f>HYPERLINK("https://learn.microsoft.com/azure/advisor/advisor-reference-reliability-recommendations#add-an-endpoint-configured-to-all-world","https://learn.microsoft.com/azure/advisor/advisor-reference-reliability-recommendations#add-an-endpoint-configured-to-all-world")</f>
      </c>
      <c r="L83" s="3" t="inlineStr">
        <is>
          <t>c31f76a0-48cd-9f44-aa43-99ee904db9bc</t>
        </is>
      </c>
    </row>
    <row r="84" s="2" customFormat="1">
      <c r="A84" s="2" t="inlineStr">
        <is>
          <t>N/A</t>
        </is>
      </c>
      <c r="B84" s="2" t="inlineStr">
        <is>
          <t>0</t>
        </is>
      </c>
      <c r="C84" s="2" t="inlineStr">
        <is>
          <t>Azure Service</t>
        </is>
      </c>
      <c r="D84" s="2" t="inlineStr">
        <is>
          <t>AOR</t>
        </is>
      </c>
      <c r="E84" s="2" t="inlineStr">
        <is>
          <t>Microsoft.Network</t>
        </is>
      </c>
      <c r="F84" s="2" t="inlineStr">
        <is>
          <t>trafficManagerProfiles</t>
        </is>
      </c>
      <c r="G84" s="2" t="inlineStr">
        <is>
          <t>Governance</t>
        </is>
      </c>
      <c r="H84" s="2" t="inlineStr">
        <is>
          <t>Traffic Manager without endpoints</t>
        </is>
      </c>
      <c r="I84" s="2" t="inlineStr">
        <is>
          <t>Medium</t>
        </is>
      </c>
      <c r="J84" s="2" t="inlineStr">
        <is>
          <t xml:space="preserve">Traffic Manager without endpoints.
</t>
        </is>
      </c>
      <c r="K84" s="2" t="str">
        <f>HYPERLINK("https://learn.microsoft.com/en-us/azure/traffic-manager/traffic-manager-overview","https://learn.microsoft.com/en-us/azure/traffic-manager/traffic-manager-overview")</f>
      </c>
      <c r="L84" s="2" t="inlineStr">
        <is>
          <t>1e2f3a4b-5c6d-7e8f-9a0b-1c2d3e4f5a6b</t>
        </is>
      </c>
    </row>
    <row r="85" s="3" customFormat="1">
      <c r="A85" s="3" t="inlineStr">
        <is>
          <t>N/A</t>
        </is>
      </c>
      <c r="B85" s="3" t="inlineStr">
        <is>
          <t>0</t>
        </is>
      </c>
      <c r="C85" s="3" t="inlineStr">
        <is>
          <t>Azure Service</t>
        </is>
      </c>
      <c r="D85" s="3" t="inlineStr">
        <is>
          <t>AZQR</t>
        </is>
      </c>
      <c r="E85" s="3" t="inlineStr">
        <is>
          <t>Microsoft.Network</t>
        </is>
      </c>
      <c r="F85" s="3" t="inlineStr">
        <is>
          <t>trafficManagerProfiles</t>
        </is>
      </c>
      <c r="G85" s="3" t="inlineStr">
        <is>
          <t>Security</t>
        </is>
      </c>
      <c r="H85" s="3" t="inlineStr">
        <is>
          <t>Traffic Manager: HTTP endpoints should be monitored using HTTPS</t>
        </is>
      </c>
      <c r="I85" s="3" t="inlineStr">
        <is>
          <t>High</t>
        </is>
      </c>
      <c r="J85" s="3" t="inlineStr">
        <is>
          <t>Traffic Manager: HTTP endpoints should be monitored using HTTPS</t>
        </is>
      </c>
      <c r="K85" s="3" t="str">
        <f>HYPERLINK("https://learn.microsoft.com/azure/traffic-manager/traffic-manager-monitoring","https://learn.microsoft.com/azure/traffic-manager/traffic-manager-monitoring")</f>
      </c>
      <c r="L85" s="3" t="inlineStr">
        <is>
          <t>traf-009</t>
        </is>
      </c>
    </row>
    <row r="86" s="2" customFormat="1">
      <c r="A86" s="2" t="inlineStr">
        <is>
          <t>N/A</t>
        </is>
      </c>
      <c r="B86" s="2" t="inlineStr">
        <is>
          <t>0</t>
        </is>
      </c>
      <c r="C86" s="2" t="inlineStr">
        <is>
          <t>Azure Service</t>
        </is>
      </c>
      <c r="D86" s="2" t="inlineStr">
        <is>
          <t>APRL</t>
        </is>
      </c>
      <c r="E86" s="2" t="inlineStr">
        <is>
          <t>Microsoft.Network</t>
        </is>
      </c>
      <c r="F86" s="2" t="inlineStr">
        <is>
          <t>trafficManagerProfiles</t>
        </is>
      </c>
      <c r="G86" s="2" t="inlineStr">
        <is>
          <t>BusinessContinuity</t>
        </is>
      </c>
      <c r="H86" s="2" t="inlineStr">
        <is>
          <t>Avoid combining Traffic Manager and Front Door</t>
        </is>
      </c>
      <c r="I86" s="2" t="inlineStr">
        <is>
          <t>High</t>
        </is>
      </c>
      <c r="J86" s="2" t="inlineStr">
        <is>
          <t xml:space="preserve">For most solutions, choose either Azure Front Door for content caching, CDN, TLS termination, and WAF, or Traffic Manager for simple global load balancing.
</t>
        </is>
      </c>
      <c r="K86" s="2" t="str">
        <f>HYPERLINK("https://learn.microsoft.com/azure/architecture/guide/technology-choices/load-balancing-overview","https://learn.microsoft.com/azure/architecture/guide/technology-choices/load-balancing-overview")</f>
      </c>
      <c r="L86" s="2" t="inlineStr">
        <is>
          <t>9437634c-d69e-2747-b13e-631c13182150</t>
        </is>
      </c>
    </row>
    <row r="87" s="3" customFormat="1">
      <c r="A87" s="3" t="inlineStr">
        <is>
          <t>N/A</t>
        </is>
      </c>
      <c r="B87" s="3" t="inlineStr">
        <is>
          <t>0</t>
        </is>
      </c>
      <c r="C87" s="3" t="inlineStr">
        <is>
          <t>Azure Service</t>
        </is>
      </c>
      <c r="D87" s="3" t="inlineStr">
        <is>
          <t>AZQR</t>
        </is>
      </c>
      <c r="E87" s="3" t="inlineStr">
        <is>
          <t>Microsoft.SignalRService</t>
        </is>
      </c>
      <c r="F87" s="3" t="inlineStr">
        <is>
          <t>webPubSub</t>
        </is>
      </c>
      <c r="G87" s="3" t="inlineStr">
        <is>
          <t>Security</t>
        </is>
      </c>
      <c r="H87" s="3" t="inlineStr">
        <is>
          <t>Web Pub Sub should have private endpoints enabled</t>
        </is>
      </c>
      <c r="I87" s="3" t="inlineStr">
        <is>
          <t>High</t>
        </is>
      </c>
      <c r="J87" s="3" t="inlineStr">
        <is>
          <t>Web Pub Sub should have private endpoints enabled</t>
        </is>
      </c>
      <c r="K87" s="3" t="str">
        <f>HYPERLINK("https://learn.microsoft.com/azure/azure-web-pubsub/howto-secure-private-endpoints","https://learn.microsoft.com/azure/azure-web-pubsub/howto-secure-private-endpoints")</f>
      </c>
      <c r="L87" s="3" t="inlineStr">
        <is>
          <t>wps-004</t>
        </is>
      </c>
    </row>
    <row r="88" s="2" customFormat="1">
      <c r="A88" s="2" t="inlineStr">
        <is>
          <t>N/A</t>
        </is>
      </c>
      <c r="B88" s="2" t="inlineStr">
        <is>
          <t>0</t>
        </is>
      </c>
      <c r="C88" s="2" t="inlineStr">
        <is>
          <t>Azure Service</t>
        </is>
      </c>
      <c r="D88" s="2" t="inlineStr">
        <is>
          <t>AZQR</t>
        </is>
      </c>
      <c r="E88" s="2" t="inlineStr">
        <is>
          <t>Microsoft.SignalRService</t>
        </is>
      </c>
      <c r="F88" s="2" t="inlineStr">
        <is>
          <t>webPubSub</t>
        </is>
      </c>
      <c r="G88" s="2" t="inlineStr">
        <is>
          <t>HighAvailability</t>
        </is>
      </c>
      <c r="H88" s="2" t="inlineStr">
        <is>
          <t>Web Pub Sub should have availability zones enabled</t>
        </is>
      </c>
      <c r="I88" s="2" t="inlineStr">
        <is>
          <t>High</t>
        </is>
      </c>
      <c r="J88" s="2" t="inlineStr">
        <is>
          <t>Web Pub Sub should have availability zones enabled</t>
        </is>
      </c>
      <c r="K88" s="2" t="str">
        <f>HYPERLINK("https://learn.microsoft.com/azure/azure-web-pubsub/concept-availability-zones","https://learn.microsoft.com/azure/azure-web-pubsub/concept-availability-zones")</f>
      </c>
      <c r="L88" s="2" t="inlineStr">
        <is>
          <t>wps-002</t>
        </is>
      </c>
    </row>
    <row r="89" s="3" customFormat="1">
      <c r="A89" s="3" t="inlineStr">
        <is>
          <t>N/A</t>
        </is>
      </c>
      <c r="B89" s="3" t="inlineStr">
        <is>
          <t>0</t>
        </is>
      </c>
      <c r="C89" s="3" t="inlineStr">
        <is>
          <t>Azure Service</t>
        </is>
      </c>
      <c r="D89" s="3" t="inlineStr">
        <is>
          <t>AZQR</t>
        </is>
      </c>
      <c r="E89" s="3" t="inlineStr">
        <is>
          <t>microsoft.signalrservice</t>
        </is>
      </c>
      <c r="F89" s="3" t="inlineStr">
        <is>
          <t>webpubsub</t>
        </is>
      </c>
      <c r="G89" s="3" t="inlineStr">
        <is>
          <t>MonitoringAndAlerting</t>
        </is>
      </c>
      <c r="H89" s="3" t="inlineStr">
        <is>
          <t>Web Pub Sub should have diagnostic settings enabled</t>
        </is>
      </c>
      <c r="I89" s="3" t="inlineStr">
        <is>
          <t>Low</t>
        </is>
      </c>
      <c r="J89" s="3" t="inlineStr">
        <is>
          <t/>
        </is>
      </c>
      <c r="K89" s="3" t="str">
        <f>HYPERLINK("https://learn.microsoft.com/en-us/azure/azure-web-pubsub/howto-troubleshoot-resource-logs","https://learn.microsoft.com/en-us/azure/azure-web-pubsub/howto-troubleshoot-resource-logs")</f>
      </c>
      <c r="L89" s="3" t="inlineStr">
        <is>
          <t>wps-001</t>
        </is>
      </c>
    </row>
    <row r="90" s="2" customFormat="1">
      <c r="A90" s="2" t="inlineStr">
        <is>
          <t>false</t>
        </is>
      </c>
      <c r="B90" s="2" t="inlineStr">
        <is>
          <t>1</t>
        </is>
      </c>
      <c r="C90" s="2" t="inlineStr">
        <is>
          <t>Azure Service</t>
        </is>
      </c>
      <c r="D90" s="2" t="inlineStr">
        <is>
          <t>AZQR</t>
        </is>
      </c>
      <c r="E90" s="2" t="inlineStr">
        <is>
          <t>microsoft.cdn</t>
        </is>
      </c>
      <c r="F90" s="2" t="inlineStr">
        <is>
          <t>profiles</t>
        </is>
      </c>
      <c r="G90" s="2" t="inlineStr">
        <is>
          <t>MonitoringAndAlerting</t>
        </is>
      </c>
      <c r="H90" s="2" t="inlineStr">
        <is>
          <t>Azure FrontDoor should have diagnostic settings enabled</t>
        </is>
      </c>
      <c r="I90" s="2" t="inlineStr">
        <is>
          <t>Low</t>
        </is>
      </c>
      <c r="J90" s="2" t="inlineStr">
        <is>
          <t/>
        </is>
      </c>
      <c r="K90" s="2" t="str">
        <f>HYPERLINK("https://learn.microsoft.com/en-us/azure/frontdoor/standard-premium/how-to-logs","https://learn.microsoft.com/en-us/azure/frontdoor/standard-premium/how-to-logs")</f>
      </c>
      <c r="L90" s="2" t="inlineStr">
        <is>
          <t>afd-001</t>
        </is>
      </c>
    </row>
    <row r="91" s="3" customFormat="1">
      <c r="A91" s="3" t="inlineStr">
        <is>
          <t>N/A</t>
        </is>
      </c>
      <c r="B91" s="3" t="inlineStr">
        <is>
          <t>0</t>
        </is>
      </c>
      <c r="C91" s="3" t="inlineStr">
        <is>
          <t>Azure Service</t>
        </is>
      </c>
      <c r="D91" s="3" t="inlineStr">
        <is>
          <t>AOR</t>
        </is>
      </c>
      <c r="E91" s="3" t="inlineStr">
        <is>
          <t>Microsoft.Web</t>
        </is>
      </c>
      <c r="F91" s="3" t="inlineStr">
        <is>
          <t>connections</t>
        </is>
      </c>
      <c r="G91" s="3" t="inlineStr">
        <is>
          <t>Governance</t>
        </is>
      </c>
      <c r="H91" s="3" t="inlineStr">
        <is>
          <t>API Connections not related to any Logic App</t>
        </is>
      </c>
      <c r="I91" s="3" t="inlineStr">
        <is>
          <t>Medium</t>
        </is>
      </c>
      <c r="J91" s="3" t="inlineStr">
        <is>
          <t xml:space="preserve">API Connections not related to any Logic App.
</t>
        </is>
      </c>
      <c r="K91" s="3" t="str">
        <f>HYPERLINK("https://learn.microsoft.com/en-us/azure/logic-apps/logic-apps-overview","https://learn.microsoft.com/en-us/azure/logic-apps/logic-apps-overview")</f>
      </c>
      <c r="L91" s="3" t="inlineStr">
        <is>
          <t>2d3e4f5a-6b7c-8d9e-0f1a-2b3c4d5e6f7a</t>
        </is>
      </c>
    </row>
    <row r="92" s="2" customFormat="1">
      <c r="A92" s="2" t="inlineStr">
        <is>
          <t>N/A</t>
        </is>
      </c>
      <c r="B92" s="2" t="inlineStr">
        <is>
          <t>0</t>
        </is>
      </c>
      <c r="C92" s="2" t="inlineStr">
        <is>
          <t>Azure Service</t>
        </is>
      </c>
      <c r="D92" s="2" t="inlineStr">
        <is>
          <t>APRL</t>
        </is>
      </c>
      <c r="E92" s="2" t="inlineStr">
        <is>
          <t>Microsoft.AAD</t>
        </is>
      </c>
      <c r="F92" s="2" t="inlineStr">
        <is>
          <t>domainServices</t>
        </is>
      </c>
      <c r="G92" s="2" t="inlineStr">
        <is>
          <t>HighAvailability</t>
        </is>
      </c>
      <c r="H92" s="2" t="inlineStr">
        <is>
          <t>Use at least the Enterprise SKU</t>
        </is>
      </c>
      <c r="I92" s="2" t="inlineStr">
        <is>
          <t>High</t>
        </is>
      </c>
      <c r="J92" s="2" t="inlineStr">
        <is>
          <t xml:space="preserve">You need to use a minimum of Enterprise SKU for your managed domain to support replica sets.
</t>
        </is>
      </c>
      <c r="K92" s="2" t="str">
        <f>HYPERLINK("https://learn.microsoft.com/entra/identity/domain-services/tutorial-create-replica-set","https://learn.microsoft.com/entra/identity/domain-services/tutorial-create-replica-set")</f>
      </c>
      <c r="L92" s="2" t="inlineStr">
        <is>
          <t>bb6deb9d-24fa-4ee8-bc23-ac3ebc7fdf8e</t>
        </is>
      </c>
    </row>
    <row r="93" s="3" customFormat="1">
      <c r="A93" s="3" t="inlineStr">
        <is>
          <t>N/A</t>
        </is>
      </c>
      <c r="B93" s="3" t="inlineStr">
        <is>
          <t>0</t>
        </is>
      </c>
      <c r="C93" s="3" t="inlineStr">
        <is>
          <t>Azure Service</t>
        </is>
      </c>
      <c r="D93" s="3" t="inlineStr">
        <is>
          <t>APRL</t>
        </is>
      </c>
      <c r="E93" s="3" t="inlineStr">
        <is>
          <t>Microsoft.AAD</t>
        </is>
      </c>
      <c r="F93" s="3" t="inlineStr">
        <is>
          <t>domainServices</t>
        </is>
      </c>
      <c r="G93" s="3" t="inlineStr">
        <is>
          <t>HighAvailability</t>
        </is>
      </c>
      <c r="H93" s="3" t="inlineStr">
        <is>
          <t>Use replica sets for resiliency or geolocation in Microsoft Entra Domain Services</t>
        </is>
      </c>
      <c r="I93" s="3" t="inlineStr">
        <is>
          <t>High</t>
        </is>
      </c>
      <c r="J93" s="3" t="inlineStr">
        <is>
          <t xml:space="preserve">To improve the resiliency of a Microsoft Entra Domain Services managed domain, or deploy to additional geographic locations close to your applications, you can use replica sets.
You can add a replica set to any peered virtual network in any Azure region that supports Domain Services.
</t>
        </is>
      </c>
      <c r="K93" s="3" t="str">
        <f>HYPERLINK("https://learn.microsoft.com/entra/identity/domain-services/tutorial-create-replica-set","https://learn.microsoft.com/entra/identity/domain-services/tutorial-create-replica-set")</f>
      </c>
      <c r="L93" s="3" t="inlineStr">
        <is>
          <t>a3058909-fcf8-4450-88b5-499f57449178</t>
        </is>
      </c>
    </row>
    <row r="94" s="2" customFormat="1">
      <c r="A94" s="2" t="inlineStr">
        <is>
          <t>N/A</t>
        </is>
      </c>
      <c r="B94" s="2" t="inlineStr">
        <is>
          <t>0</t>
        </is>
      </c>
      <c r="C94" s="2" t="inlineStr">
        <is>
          <t>Azure Service</t>
        </is>
      </c>
      <c r="D94" s="2" t="inlineStr">
        <is>
          <t>APRL</t>
        </is>
      </c>
      <c r="E94" s="2" t="inlineStr">
        <is>
          <t>Microsoft.Network</t>
        </is>
      </c>
      <c r="F94" s="2" t="inlineStr">
        <is>
          <t>ExpressRoutePorts</t>
        </is>
      </c>
      <c r="G94" s="2" t="inlineStr">
        <is>
          <t>HighAvailability</t>
        </is>
      </c>
      <c r="H94" s="2" t="inlineStr">
        <is>
          <t>The Admin State of both Links of an ExpressRoute Direct should be in Enabled state</t>
        </is>
      </c>
      <c r="I94" s="2" t="inlineStr">
        <is>
          <t>High</t>
        </is>
      </c>
      <c r="J94" s="2" t="inlineStr">
        <is>
          <t xml:space="preserve">In Azure ExpressRoute Direct, the "Admin State" indicates the administrative status of layer 1 links, showing if a link is enabled or disabled, effectively turning the physical port on or off.
</t>
        </is>
      </c>
      <c r="K94" s="2" t="str">
        <f>HYPERLINK("https://learn.microsoft.com/azure/expressroute/expressroute-howto-erdirect#state","https://learn.microsoft.com/azure/expressroute/expressroute-howto-erdirect#state")</f>
      </c>
      <c r="L94" s="2" t="inlineStr">
        <is>
          <t>60077378-7cb1-4b35-89bb-393884d9921d</t>
        </is>
      </c>
    </row>
    <row r="95" s="3" customFormat="1">
      <c r="A95" s="3" t="inlineStr">
        <is>
          <t>N/A</t>
        </is>
      </c>
      <c r="B95" s="3" t="inlineStr">
        <is>
          <t>0</t>
        </is>
      </c>
      <c r="C95" s="3" t="inlineStr">
        <is>
          <t>Azure Service</t>
        </is>
      </c>
      <c r="D95" s="3" t="inlineStr">
        <is>
          <t>APRL</t>
        </is>
      </c>
      <c r="E95" s="3" t="inlineStr">
        <is>
          <t>Microsoft.Network</t>
        </is>
      </c>
      <c r="F95" s="3" t="inlineStr">
        <is>
          <t>ExpressRoutePorts</t>
        </is>
      </c>
      <c r="G95" s="3" t="inlineStr">
        <is>
          <t>Scalability</t>
        </is>
      </c>
      <c r="H95" s="3" t="inlineStr">
        <is>
          <t>Ensure ExpressRoute Direct is not over-subscribed</t>
        </is>
      </c>
      <c r="I95" s="3" t="inlineStr">
        <is>
          <t>Medium</t>
        </is>
      </c>
      <c r="J95" s="3" t="inlineStr">
        <is>
          <t xml:space="preserve">Provisioning ExpressRoute circuits on a 10-Gbps or 100-Gbps ExpressRoute Direct resource up to 20-Gbps or 200-Gbps is possible but not recommended for resiliency. If an ExpressRoute Direct port fails, and circuits are using full capacity, the remaining port won't handle the extra load.
</t>
        </is>
      </c>
      <c r="K95" s="3" t="str">
        <f>HYPERLINK("https://learn.microsoft.com/azure/expressroute/expressroute-erdirect-about?source=recommendations#circuit-sizes","https://learn.microsoft.com/azure/expressroute/expressroute-erdirect-about?source=recommendations#circuit-sizes")</f>
      </c>
      <c r="L95" s="3" t="inlineStr">
        <is>
          <t>0bee356b-7348-4799-8cab-0c71ffe13018</t>
        </is>
      </c>
    </row>
    <row r="96" s="2" customFormat="1">
      <c r="A96" s="2" t="inlineStr">
        <is>
          <t>true</t>
        </is>
      </c>
      <c r="B96" s="2" t="inlineStr">
        <is>
          <t>0</t>
        </is>
      </c>
      <c r="C96" s="2" t="inlineStr">
        <is>
          <t>Azure Service</t>
        </is>
      </c>
      <c r="D96" s="2" t="inlineStr">
        <is>
          <t>AOR</t>
        </is>
      </c>
      <c r="E96" s="2" t="inlineStr">
        <is>
          <t>Microsoft.Network</t>
        </is>
      </c>
      <c r="F96" s="2" t="inlineStr">
        <is>
          <t>frontDoorWebApplicationFirewallPolicies</t>
        </is>
      </c>
      <c r="G96" s="2" t="inlineStr">
        <is>
          <t>Governance</t>
        </is>
      </c>
      <c r="H96" s="2" t="inlineStr">
        <is>
          <t>Front Door WAF Policy without associations</t>
        </is>
      </c>
      <c r="I96" s="2" t="inlineStr">
        <is>
          <t>Medium</t>
        </is>
      </c>
      <c r="J96" s="2" t="inlineStr">
        <is>
          <t xml:space="preserve">Front Door WAF Policy without associations.
</t>
        </is>
      </c>
      <c r="K96" s="2" t="str">
        <f>HYPERLINK("https://learn.microsoft.com/en-us/azure/web-application-firewall/afds/afds-overview","https://learn.microsoft.com/en-us/azure/web-application-firewall/afds/afds-overview")</f>
      </c>
      <c r="L96" s="2" t="inlineStr">
        <is>
          <t>0d1e2f3a-4b5c-6d7e-8f9a-0b1c2d3e4f5a</t>
        </is>
      </c>
    </row>
    <row r="97" s="3" customFormat="1">
      <c r="A97" s="3" t="inlineStr">
        <is>
          <t>N/A</t>
        </is>
      </c>
      <c r="B97" s="3" t="inlineStr">
        <is>
          <t>0</t>
        </is>
      </c>
      <c r="C97" s="3" t="inlineStr">
        <is>
          <t>Azure Service</t>
        </is>
      </c>
      <c r="D97" s="3" t="inlineStr">
        <is>
          <t>AOR</t>
        </is>
      </c>
      <c r="E97" s="3" t="inlineStr">
        <is>
          <t>Microsoft.Network</t>
        </is>
      </c>
      <c r="F97" s="3" t="inlineStr">
        <is>
          <t>natGateways</t>
        </is>
      </c>
      <c r="G97" s="3" t="inlineStr">
        <is>
          <t>Governance</t>
        </is>
      </c>
      <c r="H97" s="3" t="inlineStr">
        <is>
          <t>NAT Gateways not attached to any subnet</t>
        </is>
      </c>
      <c r="I97" s="3" t="inlineStr">
        <is>
          <t>Medium</t>
        </is>
      </c>
      <c r="J97" s="3" t="inlineStr">
        <is>
          <t xml:space="preserve">NAT Gateways not attached to any subnet.
</t>
        </is>
      </c>
      <c r="K97" s="3" t="str">
        <f>HYPERLINK("https://learn.microsoft.com/azure/nat-gateway/nat-overview","https://learn.microsoft.com/azure/nat-gateway/nat-overview")</f>
      </c>
      <c r="L97" s="3" t="inlineStr">
        <is>
          <t>5c6d7e8f-9a0b-1c2d-3e4f-5a6b7c8d9e0f</t>
        </is>
      </c>
    </row>
    <row r="98" s="2" customFormat="1">
      <c r="A98" s="2" t="inlineStr">
        <is>
          <t>N/A</t>
        </is>
      </c>
      <c r="B98" s="2" t="inlineStr">
        <is>
          <t>0</t>
        </is>
      </c>
      <c r="C98" s="2" t="inlineStr">
        <is>
          <t>Azure Service</t>
        </is>
      </c>
      <c r="D98" s="2" t="inlineStr">
        <is>
          <t>AZQR</t>
        </is>
      </c>
      <c r="E98" s="2" t="inlineStr">
        <is>
          <t>microsoft.network</t>
        </is>
      </c>
      <c r="F98" s="2" t="inlineStr">
        <is>
          <t>natgateways</t>
        </is>
      </c>
      <c r="G98" s="2" t="inlineStr">
        <is>
          <t>MonitoringAndAlerting</t>
        </is>
      </c>
      <c r="H98" s="2" t="inlineStr">
        <is>
          <t>NAT Gateway should have diagnostic settings enabled</t>
        </is>
      </c>
      <c r="I98" s="2" t="inlineStr">
        <is>
          <t>Low</t>
        </is>
      </c>
      <c r="J98" s="2" t="inlineStr">
        <is>
          <t/>
        </is>
      </c>
      <c r="K98" s="2" t="str">
        <f>HYPERLINK("https://learn.microsoft.com/en-us/azure/nat-gateway/nat-metrics","https://learn.microsoft.com/en-us/azure/nat-gateway/nat-metrics")</f>
      </c>
      <c r="L98" s="2" t="inlineStr">
        <is>
          <t>ng-001</t>
        </is>
      </c>
    </row>
    <row r="99" s="3" customFormat="1">
      <c r="A99" s="3" t="inlineStr">
        <is>
          <t>N/A</t>
        </is>
      </c>
      <c r="B99" s="3" t="inlineStr">
        <is>
          <t>0</t>
        </is>
      </c>
      <c r="C99" s="3" t="inlineStr">
        <is>
          <t>Azure Service</t>
        </is>
      </c>
      <c r="D99" s="3" t="inlineStr">
        <is>
          <t>AOR</t>
        </is>
      </c>
      <c r="E99" s="3" t="inlineStr">
        <is>
          <t>Microsoft.Sql</t>
        </is>
      </c>
      <c r="F99" s="3" t="inlineStr">
        <is>
          <t>servers</t>
        </is>
      </c>
      <c r="G99" s="3" t="inlineStr">
        <is>
          <t>Governance</t>
        </is>
      </c>
      <c r="H99" s="3" t="inlineStr">
        <is>
          <t>SQL elastic pool without databases</t>
        </is>
      </c>
      <c r="I99" s="3" t="inlineStr">
        <is>
          <t>Medium</t>
        </is>
      </c>
      <c r="J99" s="3" t="inlineStr">
        <is>
          <t xml:space="preserve">SQL elastic pool without databases.
</t>
        </is>
      </c>
      <c r="K99" s="3" t="str">
        <f>HYPERLINK("https://learn.microsoft.com/en-us/azure/azure-sql/database/elastic-pool-overview","https://learn.microsoft.com/en-us/azure/azure-sql/database/elastic-pool-overview")</f>
      </c>
      <c r="L99" s="3" t="inlineStr">
        <is>
          <t>4d5e6f7a-8b9c-0d1e-2f3a-4b5c6d7e8f9a</t>
        </is>
      </c>
    </row>
    <row r="100" s="2" customFormat="1">
      <c r="A100" s="2" t="inlineStr">
        <is>
          <t>N/A</t>
        </is>
      </c>
      <c r="B100" s="2" t="inlineStr">
        <is>
          <t>0</t>
        </is>
      </c>
      <c r="C100" s="2" t="inlineStr">
        <is>
          <t>Azure Service</t>
        </is>
      </c>
      <c r="D100" s="2" t="inlineStr">
        <is>
          <t>AZQR</t>
        </is>
      </c>
      <c r="E100" s="2" t="inlineStr">
        <is>
          <t>microsoft.containerregistry</t>
        </is>
      </c>
      <c r="F100" s="2" t="inlineStr">
        <is>
          <t>registries</t>
        </is>
      </c>
      <c r="G100" s="2" t="inlineStr">
        <is>
          <t>MonitoringAndAlerting</t>
        </is>
      </c>
      <c r="H100" s="2" t="inlineStr">
        <is>
          <t>ContainerRegistry should have diagnostic settings enabled</t>
        </is>
      </c>
      <c r="I100" s="2" t="inlineStr">
        <is>
          <t>Low</t>
        </is>
      </c>
      <c r="J100" s="2" t="inlineStr">
        <is>
          <t/>
        </is>
      </c>
      <c r="K100" s="2" t="str">
        <f>HYPERLINK("https://learn.microsoft.com/en-us/azure/container-registry/monitor-service","https://learn.microsoft.com/en-us/azure/container-registry/monitor-service")</f>
      </c>
      <c r="L100" s="2" t="inlineStr">
        <is>
          <t>cr-001</t>
        </is>
      </c>
    </row>
    <row r="101" s="3" customFormat="1">
      <c r="A101" s="3" t="inlineStr">
        <is>
          <t>N/A</t>
        </is>
      </c>
      <c r="B101" s="3" t="inlineStr">
        <is>
          <t>0</t>
        </is>
      </c>
      <c r="C101" s="3" t="inlineStr">
        <is>
          <t>Azure Service</t>
        </is>
      </c>
      <c r="D101" s="3" t="inlineStr">
        <is>
          <t>AZQR</t>
        </is>
      </c>
      <c r="E101" s="3" t="inlineStr">
        <is>
          <t>Microsoft.ContainerRegistry</t>
        </is>
      </c>
      <c r="F101" s="3" t="inlineStr">
        <is>
          <t>registries</t>
        </is>
      </c>
      <c r="G101" s="3" t="inlineStr">
        <is>
          <t>Governance</t>
        </is>
      </c>
      <c r="H101" s="3" t="inlineStr">
        <is>
          <t>ContainerRegistry should use retention policies</t>
        </is>
      </c>
      <c r="I101" s="3" t="inlineStr">
        <is>
          <t>Medium</t>
        </is>
      </c>
      <c r="J101" s="3" t="inlineStr">
        <is>
          <t>ContainerRegistry should use retention policies</t>
        </is>
      </c>
      <c r="K101" s="3" t="str">
        <f>HYPERLINK("https://learn.microsoft.com/azure/container-registry/container-registry-retention-policy","https://learn.microsoft.com/azure/container-registry/container-registry-retention-policy")</f>
      </c>
      <c r="L101" s="3" t="inlineStr">
        <is>
          <t>cr-010</t>
        </is>
      </c>
    </row>
    <row r="102" s="2" customFormat="1">
      <c r="A102" s="2" t="inlineStr">
        <is>
          <t>N/A</t>
        </is>
      </c>
      <c r="B102" s="2" t="inlineStr">
        <is>
          <t>0</t>
        </is>
      </c>
      <c r="C102" s="2" t="inlineStr">
        <is>
          <t>Azure Service</t>
        </is>
      </c>
      <c r="D102" s="2" t="inlineStr">
        <is>
          <t>APRL</t>
        </is>
      </c>
      <c r="E102" s="2" t="inlineStr">
        <is>
          <t>Microsoft.ContainerRegistry</t>
        </is>
      </c>
      <c r="F102" s="2" t="inlineStr">
        <is>
          <t>registries</t>
        </is>
      </c>
      <c r="G102" s="2" t="inlineStr">
        <is>
          <t>DisasterRecovery</t>
        </is>
      </c>
      <c r="H102" s="2" t="inlineStr">
        <is>
          <t>Create container registries with geo-replication enabled</t>
        </is>
      </c>
      <c r="I102" s="2" t="inlineStr">
        <is>
          <t>High</t>
        </is>
      </c>
      <c r="J102" s="2" t="inlineStr">
        <is>
          <t xml:space="preserve">Use Azure Container Registry's geo-replication for multi-region deployments to simplify registry management and minimize latency. It enables serving global customers from local data centers and supports distributed development teams. Regional webhooks can notify of events in replicas.
</t>
        </is>
      </c>
      <c r="K102" s="2" t="str">
        <f>HYPERLINK("https://learn.microsoft.com/azure/container-registry/container-registry-best-practices#geo-replicate-multi-region-deployments","https://learn.microsoft.com/azure/container-registry/container-registry-best-practices#geo-replicate-multi-region-deployments")</f>
      </c>
      <c r="L102" s="2" t="inlineStr">
        <is>
          <t>36ea6c09-ef6e-d743-9cfb-bd0c928a430b</t>
        </is>
      </c>
    </row>
    <row r="103" s="3" customFormat="1">
      <c r="A103" s="3" t="inlineStr">
        <is>
          <t>N/A</t>
        </is>
      </c>
      <c r="B103" s="3" t="inlineStr">
        <is>
          <t>0</t>
        </is>
      </c>
      <c r="C103" s="3" t="inlineStr">
        <is>
          <t>Azure Service</t>
        </is>
      </c>
      <c r="D103" s="3" t="inlineStr">
        <is>
          <t>APRL</t>
        </is>
      </c>
      <c r="E103" s="3" t="inlineStr">
        <is>
          <t>Microsoft.ContainerRegistry</t>
        </is>
      </c>
      <c r="F103" s="3" t="inlineStr">
        <is>
          <t>registries</t>
        </is>
      </c>
      <c r="G103" s="3" t="inlineStr">
        <is>
          <t>OtherBestPractices</t>
        </is>
      </c>
      <c r="H103" s="3" t="inlineStr">
        <is>
          <t>Disable anonymous pull access</t>
        </is>
      </c>
      <c r="I103" s="3" t="inlineStr">
        <is>
          <t>Medium</t>
        </is>
      </c>
      <c r="J103" s="3" t="inlineStr">
        <is>
          <t xml:space="preserve">By default, Azure container registry requires authentication for pull/push actions. Enabling anonymous pull access exposes all content for public read actions. This applies to all repositories, potentially allowing unrestricted access if repository-scoped tokens are used.
</t>
        </is>
      </c>
      <c r="K103" s="3" t="str">
        <f>HYPERLINK("https://learn.microsoft.com/azure/container-registry/anonymous-pull-access#about-anonymous-pull-access","https://learn.microsoft.com/azure/container-registry/anonymous-pull-access#about-anonymous-pull-access")</f>
      </c>
      <c r="L103" s="3" t="inlineStr">
        <is>
          <t>03f4a7d8-c5b4-7842-8e6e-14997a34842b</t>
        </is>
      </c>
    </row>
    <row r="104" s="2" customFormat="1">
      <c r="A104" s="2" t="inlineStr">
        <is>
          <t>N/A</t>
        </is>
      </c>
      <c r="B104" s="2" t="inlineStr">
        <is>
          <t>0</t>
        </is>
      </c>
      <c r="C104" s="2" t="inlineStr">
        <is>
          <t>Azure Service</t>
        </is>
      </c>
      <c r="D104" s="2" t="inlineStr">
        <is>
          <t>AZQR</t>
        </is>
      </c>
      <c r="E104" s="2" t="inlineStr">
        <is>
          <t>Microsoft.ContainerRegistry</t>
        </is>
      </c>
      <c r="F104" s="2" t="inlineStr">
        <is>
          <t>registries</t>
        </is>
      </c>
      <c r="G104" s="2" t="inlineStr">
        <is>
          <t>Security</t>
        </is>
      </c>
      <c r="H104" s="2" t="inlineStr">
        <is>
          <t>ContainerRegistry should have the Administrator account disabled</t>
        </is>
      </c>
      <c r="I104" s="2" t="inlineStr">
        <is>
          <t>Medium</t>
        </is>
      </c>
      <c r="J104" s="2" t="inlineStr">
        <is>
          <t>ContainerRegistry should have the Administrator account disabled</t>
        </is>
      </c>
      <c r="K104" s="2" t="str">
        <f>HYPERLINK("https://learn.microsoft.com/azure/container-registry/container-registry-authentication-managed-identity","https://learn.microsoft.com/azure/container-registry/container-registry-authentication-managed-identity")</f>
      </c>
      <c r="L104" s="2" t="inlineStr">
        <is>
          <t>cr-008</t>
        </is>
      </c>
    </row>
    <row r="105" s="3" customFormat="1">
      <c r="A105" s="3" t="inlineStr">
        <is>
          <t>N/A</t>
        </is>
      </c>
      <c r="B105" s="3" t="inlineStr">
        <is>
          <t>0</t>
        </is>
      </c>
      <c r="C105" s="3" t="inlineStr">
        <is>
          <t>Azure Service</t>
        </is>
      </c>
      <c r="D105" s="3" t="inlineStr">
        <is>
          <t>AZQR</t>
        </is>
      </c>
      <c r="E105" s="3" t="inlineStr">
        <is>
          <t>Microsoft.ContainerRegistry</t>
        </is>
      </c>
      <c r="F105" s="3" t="inlineStr">
        <is>
          <t>registries</t>
        </is>
      </c>
      <c r="G105" s="3" t="inlineStr">
        <is>
          <t>Security</t>
        </is>
      </c>
      <c r="H105" s="3" t="inlineStr">
        <is>
          <t>ContainerRegistry should have private endpoints enabled</t>
        </is>
      </c>
      <c r="I105" s="3" t="inlineStr">
        <is>
          <t>High</t>
        </is>
      </c>
      <c r="J105" s="3" t="inlineStr">
        <is>
          <t>ContainerRegistry should have private endpoints enabled</t>
        </is>
      </c>
      <c r="K105" s="3" t="str">
        <f>HYPERLINK("https://learn.microsoft.com/azure/container-registry/container-registry-private-link","https://learn.microsoft.com/azure/container-registry/container-registry-private-link")</f>
      </c>
      <c r="L105" s="3" t="inlineStr">
        <is>
          <t>cr-004</t>
        </is>
      </c>
    </row>
    <row r="106" s="2" customFormat="1">
      <c r="A106" s="2" t="inlineStr">
        <is>
          <t>N/A</t>
        </is>
      </c>
      <c r="B106" s="2" t="inlineStr">
        <is>
          <t>0</t>
        </is>
      </c>
      <c r="C106" s="2" t="inlineStr">
        <is>
          <t>Azure Service</t>
        </is>
      </c>
      <c r="D106" s="2" t="inlineStr">
        <is>
          <t>APRL</t>
        </is>
      </c>
      <c r="E106" s="2" t="inlineStr">
        <is>
          <t>Microsoft.ContainerRegistry</t>
        </is>
      </c>
      <c r="F106" s="2" t="inlineStr">
        <is>
          <t>registries</t>
        </is>
      </c>
      <c r="G106" s="2" t="inlineStr">
        <is>
          <t>HighAvailability</t>
        </is>
      </c>
      <c r="H106" s="2" t="inlineStr">
        <is>
          <t>Enable zone redundancy</t>
        </is>
      </c>
      <c r="I106" s="2" t="inlineStr">
        <is>
          <t>Medium</t>
        </is>
      </c>
      <c r="J106" s="2" t="inlineStr">
        <is>
          <t xml:space="preserve">Azure Container Registry's optional zone redundancy enhances resiliency and high availability for registries or replication resources in a specific region by distributing resources across multiple zones.
</t>
        </is>
      </c>
      <c r="K106" s="2" t="str">
        <f>HYPERLINK("https://learn.microsoft.com/azure/container-registry/zone-redundancy?toc=%2Fazure%2Freliability%2Ftoc.json&amp;bc=%2Fazure%2Freliability%2Fbreadcrumb%2Ftoc.json&amp;branch=main","https://learn.microsoft.com/azure/container-registry/zone-redundancy?toc=%2Fazure%2Freliability%2Ftoc.json&amp;bc=%2Fazure%2Freliability%2Fbreadcrumb%2Ftoc.json&amp;branch=main")</f>
      </c>
      <c r="L106" s="2" t="inlineStr">
        <is>
          <t>63491f70-22e4-3b4a-8b0c-845450e46fac</t>
        </is>
      </c>
    </row>
    <row r="107" s="3" customFormat="1">
      <c r="A107" s="3" t="inlineStr">
        <is>
          <t>N/A</t>
        </is>
      </c>
      <c r="B107" s="3" t="inlineStr">
        <is>
          <t>0</t>
        </is>
      </c>
      <c r="C107" s="3" t="inlineStr">
        <is>
          <t>Azure Service</t>
        </is>
      </c>
      <c r="D107" s="3" t="inlineStr">
        <is>
          <t>APRL</t>
        </is>
      </c>
      <c r="E107" s="3" t="inlineStr">
        <is>
          <t>Microsoft.ContainerRegistry</t>
        </is>
      </c>
      <c r="F107" s="3" t="inlineStr">
        <is>
          <t>registries</t>
        </is>
      </c>
      <c r="G107" s="3" t="inlineStr">
        <is>
          <t>DisasterRecovery</t>
        </is>
      </c>
      <c r="H107" s="3" t="inlineStr">
        <is>
          <t>Enable soft delete policy</t>
        </is>
      </c>
      <c r="I107" s="3" t="inlineStr">
        <is>
          <t>Low</t>
        </is>
      </c>
      <c r="J107" s="3" t="inlineStr">
        <is>
          <t xml:space="preserve">Enabling soft delete preview feature in Azure Container Registry (ACR) allows for the management of deleted artifacts with a specified retention period. Users can list, filter, and restore these artifacts until automatically purged post-retention.
</t>
        </is>
      </c>
      <c r="K107" s="3" t="str">
        <f>HYPERLINK("https://learn.microsoft.com/azure/container-registry/container-registry-soft-delete-policy","https://learn.microsoft.com/azure/container-registry/container-registry-soft-delete-policy")</f>
      </c>
      <c r="L107" s="3" t="inlineStr">
        <is>
          <t>e7f0fd54-fba0-054e-9ab8-e676f2851f88</t>
        </is>
      </c>
    </row>
    <row r="108" s="2" customFormat="1">
      <c r="A108" s="2" t="inlineStr">
        <is>
          <t>N/A</t>
        </is>
      </c>
      <c r="B108" s="2" t="inlineStr">
        <is>
          <t>0</t>
        </is>
      </c>
      <c r="C108" s="2" t="inlineStr">
        <is>
          <t>Azure Service</t>
        </is>
      </c>
      <c r="D108" s="2" t="inlineStr">
        <is>
          <t>APRL</t>
        </is>
      </c>
      <c r="E108" s="2" t="inlineStr">
        <is>
          <t>Microsoft.ContainerRegistry</t>
        </is>
      </c>
      <c r="F108" s="2" t="inlineStr">
        <is>
          <t>registries</t>
        </is>
      </c>
      <c r="G108" s="2" t="inlineStr">
        <is>
          <t>HighAvailability</t>
        </is>
      </c>
      <c r="H108" s="2" t="inlineStr">
        <is>
          <t>Use Premium tier for critical production workloads</t>
        </is>
      </c>
      <c r="I108" s="2" t="inlineStr">
        <is>
          <t>High</t>
        </is>
      </c>
      <c r="J108" s="2" t="inlineStr">
        <is>
          <t xml:space="preserve">Choose a service tier of Azure Container Registry to meet your performance needs. Premium offers the most bandwidth and highest rate of read and write operations for high-volume deployments. Use Basic to start, Standard for production, and Premium for hyper-scale performance and geo-replication.
</t>
        </is>
      </c>
      <c r="K108" s="2" t="str">
        <f>HYPERLINK("https://learn.microsoft.com/azure/container-registry/container-registry-best-practices","https://learn.microsoft.com/azure/container-registry/container-registry-best-practices")</f>
      </c>
      <c r="L108" s="2" t="inlineStr">
        <is>
          <t>eb005943-40a8-194b-9db2-474d430046b7</t>
        </is>
      </c>
    </row>
    <row r="109" s="3" customFormat="1">
      <c r="A109" s="3" t="inlineStr">
        <is>
          <t>N/A</t>
        </is>
      </c>
      <c r="B109" s="3" t="inlineStr">
        <is>
          <t>0</t>
        </is>
      </c>
      <c r="C109" s="3" t="inlineStr">
        <is>
          <t>Azure Service</t>
        </is>
      </c>
      <c r="D109" s="3" t="inlineStr">
        <is>
          <t>AOR</t>
        </is>
      </c>
      <c r="E109" s="3" t="inlineStr">
        <is>
          <t>Microsoft.Network</t>
        </is>
      </c>
      <c r="F109" s="3" t="inlineStr">
        <is>
          <t>ddosProtectionPlans</t>
        </is>
      </c>
      <c r="G109" s="3" t="inlineStr">
        <is>
          <t>Governance</t>
        </is>
      </c>
      <c r="H109" s="3" t="inlineStr">
        <is>
          <t>DDoS protection without protected resources</t>
        </is>
      </c>
      <c r="I109" s="3" t="inlineStr">
        <is>
          <t>Medium</t>
        </is>
      </c>
      <c r="J109" s="3" t="inlineStr">
        <is>
          <t xml:space="preserve">DDoS protection without protected resources.
</t>
        </is>
      </c>
      <c r="K109" s="3" t="str">
        <f>HYPERLINK("https://learn.microsoft.com/en-us/azure/ddos-protection/ddos-protection-overview","https://learn.microsoft.com/en-us/azure/ddos-protection/ddos-protection-overview")</f>
      </c>
      <c r="L109" s="3" t="inlineStr">
        <is>
          <t>0b1c2d3e-4f5a-6b7c-8d9e-0f1a2b3c4d5e</t>
        </is>
      </c>
    </row>
    <row r="110" s="2" customFormat="1">
      <c r="A110" s="2" t="inlineStr">
        <is>
          <t>N/A</t>
        </is>
      </c>
      <c r="B110" s="2" t="inlineStr">
        <is>
          <t>0</t>
        </is>
      </c>
      <c r="C110" s="2" t="inlineStr">
        <is>
          <t>Azure Service</t>
        </is>
      </c>
      <c r="D110" s="2" t="inlineStr">
        <is>
          <t>APRL</t>
        </is>
      </c>
      <c r="E110" s="2" t="inlineStr">
        <is>
          <t>Oracle.Database</t>
        </is>
      </c>
      <c r="F110" s="2" t="inlineStr">
        <is>
          <t>cloudVmClusters</t>
        </is>
      </c>
      <c r="G110" s="2" t="inlineStr">
        <is>
          <t>OtherBestPractices</t>
        </is>
      </c>
      <c r="H110" s="2" t="inlineStr">
        <is>
          <t>Ensure ODAA clusters are in Available state under normal operations</t>
        </is>
      </c>
      <c r="I110" s="2" t="inlineStr">
        <is>
          <t>High</t>
        </is>
      </c>
      <c r="J110" s="2" t="inlineStr">
        <is>
          <t xml:space="preserve">ODAA Vm Clusters can be in a number of states during their lifecycle (Available, Failed, Maintenance In Progress, Provisioning, Terminated, Terminating and Updating).
Ensure that the ODAA clusters are in Available state under normal operations.
</t>
        </is>
      </c>
      <c r="K110" s="2" t="str">
        <f>HYPERLINK("https://learn.microsoft.com/rest/api/oracle/cloud-vm-clusters/get?view=rest-oracle-2023-09-01&amp;tabs=HTTP#cloudvmclusterlifecyclestate","https://learn.microsoft.com/rest/api/oracle/cloud-vm-clusters/get?view=rest-oracle-2023-09-01&amp;tabs=HTTP#cloudvmclusterlifecyclestate")</f>
      </c>
      <c r="L110" s="2" t="inlineStr">
        <is>
          <t>4b33324a-70cd-4bac-bdae-da4c382c436b</t>
        </is>
      </c>
    </row>
    <row r="111" s="3" customFormat="1">
      <c r="A111" s="3" t="inlineStr">
        <is>
          <t>N/A</t>
        </is>
      </c>
      <c r="B111" s="3" t="inlineStr">
        <is>
          <t>0</t>
        </is>
      </c>
      <c r="C111" s="3" t="inlineStr">
        <is>
          <t>Azure Service</t>
        </is>
      </c>
      <c r="D111" s="3" t="inlineStr">
        <is>
          <t>APRL</t>
        </is>
      </c>
      <c r="E111" s="3" t="inlineStr">
        <is>
          <t>Microsoft.SignalRService</t>
        </is>
      </c>
      <c r="F111" s="3" t="inlineStr">
        <is>
          <t>SignalR</t>
        </is>
      </c>
      <c r="G111" s="3" t="inlineStr">
        <is>
          <t>HighAvailability</t>
        </is>
      </c>
      <c r="H111" s="3" t="inlineStr">
        <is>
          <t>Enable zone redundancy for SignalR</t>
        </is>
      </c>
      <c r="I111" s="3" t="inlineStr">
        <is>
          <t>High</t>
        </is>
      </c>
      <c r="J111" s="3" t="inlineStr">
        <is>
          <t xml:space="preserve">Use SignalR with zone redundancy for production to improve uptime. This feature, available in the Premium tier, is activated upon creating or upgrading to Premium. Standard can upgrade to Premium without downtime.
</t>
        </is>
      </c>
      <c r="K111" s="3" t="str">
        <f>HYPERLINK("https://learn.microsoft.com/azure/azure-signalr/availability-zones","https://learn.microsoft.com/azure/azure-signalr/availability-zones")</f>
      </c>
      <c r="L111" s="3" t="inlineStr">
        <is>
          <t>6a8b3db9-5773-413a-a127-4f7032f34bbd</t>
        </is>
      </c>
    </row>
    <row r="112" s="2" customFormat="1">
      <c r="A112" s="2" t="inlineStr">
        <is>
          <t>N/A</t>
        </is>
      </c>
      <c r="B112" s="2" t="inlineStr">
        <is>
          <t>0</t>
        </is>
      </c>
      <c r="C112" s="2" t="inlineStr">
        <is>
          <t>Azure Service</t>
        </is>
      </c>
      <c r="D112" s="2" t="inlineStr">
        <is>
          <t>AZQR</t>
        </is>
      </c>
      <c r="E112" s="2" t="inlineStr">
        <is>
          <t>Microsoft.SignalRService</t>
        </is>
      </c>
      <c r="F112" s="2" t="inlineStr">
        <is>
          <t>SignalR</t>
        </is>
      </c>
      <c r="G112" s="2" t="inlineStr">
        <is>
          <t>Security</t>
        </is>
      </c>
      <c r="H112" s="2" t="inlineStr">
        <is>
          <t>SignalR should have private endpoints enabled</t>
        </is>
      </c>
      <c r="I112" s="2" t="inlineStr">
        <is>
          <t>High</t>
        </is>
      </c>
      <c r="J112" s="2" t="inlineStr">
        <is>
          <t>SignalR should have private endpoints enabled</t>
        </is>
      </c>
      <c r="K112" s="2" t="str">
        <f>HYPERLINK("https://learn.microsoft.com/azure/azure-signalr/howto-private-endpoints","https://learn.microsoft.com/azure/azure-signalr/howto-private-endpoints")</f>
      </c>
      <c r="L112" s="2" t="inlineStr">
        <is>
          <t>sigr-004</t>
        </is>
      </c>
    </row>
    <row r="113" s="3" customFormat="1">
      <c r="A113" s="3" t="inlineStr">
        <is>
          <t>N/A</t>
        </is>
      </c>
      <c r="B113" s="3" t="inlineStr">
        <is>
          <t>0</t>
        </is>
      </c>
      <c r="C113" s="3" t="inlineStr">
        <is>
          <t>Azure Service</t>
        </is>
      </c>
      <c r="D113" s="3" t="inlineStr">
        <is>
          <t>AZQR</t>
        </is>
      </c>
      <c r="E113" s="3" t="inlineStr">
        <is>
          <t>microsoft.signalrservice</t>
        </is>
      </c>
      <c r="F113" s="3" t="inlineStr">
        <is>
          <t>signalr</t>
        </is>
      </c>
      <c r="G113" s="3" t="inlineStr">
        <is>
          <t>MonitoringAndAlerting</t>
        </is>
      </c>
      <c r="H113" s="3" t="inlineStr">
        <is>
          <t>SignalR should have diagnostic settings enabled</t>
        </is>
      </c>
      <c r="I113" s="3" t="inlineStr">
        <is>
          <t>Low</t>
        </is>
      </c>
      <c r="J113" s="3" t="inlineStr">
        <is>
          <t/>
        </is>
      </c>
      <c r="K113" s="3" t="str">
        <f>HYPERLINK("https://learn.microsoft.com/en-us/azure/azure-signalr/signalr-howto-diagnostic-logs","https://learn.microsoft.com/en-us/azure/azure-signalr/signalr-howto-diagnostic-logs")</f>
      </c>
      <c r="L113" s="3" t="inlineStr">
        <is>
          <t>sigr-001</t>
        </is>
      </c>
    </row>
    <row r="114" s="2" customFormat="1">
      <c r="A114" s="2" t="inlineStr">
        <is>
          <t>true</t>
        </is>
      </c>
      <c r="B114" s="2" t="inlineStr">
        <is>
          <t>0</t>
        </is>
      </c>
      <c r="C114" s="2" t="inlineStr">
        <is>
          <t>Azure Service</t>
        </is>
      </c>
      <c r="D114" s="2" t="inlineStr">
        <is>
          <t>APRL</t>
        </is>
      </c>
      <c r="E114" s="2" t="inlineStr">
        <is>
          <t>Microsoft.Sql</t>
        </is>
      </c>
      <c r="F114" s="2" t="inlineStr">
        <is>
          <t>servers</t>
        </is>
      </c>
      <c r="G114" s="2" t="inlineStr">
        <is>
          <t>HighAvailability</t>
        </is>
      </c>
      <c r="H114" s="2" t="inlineStr">
        <is>
          <t>Enable zone redundancy for Azure SQL Database to achieve high availability and resiliency</t>
        </is>
      </c>
      <c r="I114" s="2" t="inlineStr">
        <is>
          <t>High</t>
        </is>
      </c>
      <c r="J114" s="2" t="inlineStr">
        <is>
          <t xml:space="preserve">By default, Azure SQL Database premium tier provisions multiple copies within the same region. For geo redundancy, databases can be set as Zone Redundant, distributing copies across Azure Availability Zones to maintain availability during regional outages.
</t>
        </is>
      </c>
      <c r="K114" s="2" t="str">
        <f>HYPERLINK("https://learn.microsoft.com/azure/azure-sql/database/high-availability-sla","https://learn.microsoft.com/azure/azure-sql/database/high-availability-sla")</f>
      </c>
      <c r="L114" s="2" t="inlineStr">
        <is>
          <t>c0085c32-84c0-c247-bfa9-e70977cbf108</t>
        </is>
      </c>
    </row>
    <row r="115" s="3" customFormat="1">
      <c r="A115" s="3" t="inlineStr">
        <is>
          <t>true</t>
        </is>
      </c>
      <c r="B115" s="3" t="inlineStr">
        <is>
          <t>0</t>
        </is>
      </c>
      <c r="C115" s="3" t="inlineStr">
        <is>
          <t>Azure Service</t>
        </is>
      </c>
      <c r="D115" s="3" t="inlineStr">
        <is>
          <t>AZQR</t>
        </is>
      </c>
      <c r="E115" s="3" t="inlineStr">
        <is>
          <t>microsoft.sql</t>
        </is>
      </c>
      <c r="F115" s="3" t="inlineStr">
        <is>
          <t>servers</t>
        </is>
      </c>
      <c r="G115" s="3" t="inlineStr">
        <is>
          <t>MonitoringAndAlerting</t>
        </is>
      </c>
      <c r="H115" s="3" t="inlineStr">
        <is>
          <t>SQL Database should have diagnostic settings enabled</t>
        </is>
      </c>
      <c r="I115" s="3" t="inlineStr">
        <is>
          <t>Low</t>
        </is>
      </c>
      <c r="J115" s="3" t="inlineStr">
        <is>
          <t/>
        </is>
      </c>
      <c r="K115" s="3" t="inlineStr">
        <is>
          <t/>
        </is>
      </c>
      <c r="L115" s="3" t="inlineStr">
        <is>
          <t>sqldb-001</t>
        </is>
      </c>
    </row>
    <row r="116" s="2" customFormat="1">
      <c r="A116" s="2" t="inlineStr">
        <is>
          <t>N/A</t>
        </is>
      </c>
      <c r="B116" s="2" t="inlineStr">
        <is>
          <t>0</t>
        </is>
      </c>
      <c r="C116" s="2" t="inlineStr">
        <is>
          <t>Azure Service</t>
        </is>
      </c>
      <c r="D116" s="2" t="inlineStr">
        <is>
          <t>AOR</t>
        </is>
      </c>
      <c r="E116" s="2" t="inlineStr">
        <is>
          <t>Microsoft.Network</t>
        </is>
      </c>
      <c r="F116" s="2" t="inlineStr">
        <is>
          <t>ipGroups</t>
        </is>
      </c>
      <c r="G116" s="2" t="inlineStr">
        <is>
          <t>Governance</t>
        </is>
      </c>
      <c r="H116" s="2" t="inlineStr">
        <is>
          <t>IP Groups not attached to any Azure Firewall</t>
        </is>
      </c>
      <c r="I116" s="2" t="inlineStr">
        <is>
          <t>Medium</t>
        </is>
      </c>
      <c r="J116" s="2" t="inlineStr">
        <is>
          <t xml:space="preserve">IP Groups not attached to any Azure Firewall.
</t>
        </is>
      </c>
      <c r="K116" s="2" t="str">
        <f>HYPERLINK("https://learn.microsoft.com/azure/firewall/ip-groups","https://learn.microsoft.com/azure/firewall/ip-groups")</f>
      </c>
      <c r="L116" s="2" t="inlineStr">
        <is>
          <t>6d7e8f9a-0b1c-2d3e-4f5a-6b7c8d9e0f1a</t>
        </is>
      </c>
    </row>
    <row r="117" s="3" customFormat="1">
      <c r="A117" s="3" t="inlineStr">
        <is>
          <t>true</t>
        </is>
      </c>
      <c r="B117" s="3" t="inlineStr">
        <is>
          <t>0</t>
        </is>
      </c>
      <c r="C117" s="3" t="inlineStr">
        <is>
          <t>Azure Service</t>
        </is>
      </c>
      <c r="D117" s="3" t="inlineStr">
        <is>
          <t>AZQR</t>
        </is>
      </c>
      <c r="E117" s="3" t="inlineStr">
        <is>
          <t>Microsoft.Web</t>
        </is>
      </c>
      <c r="F117" s="3" t="inlineStr">
        <is>
          <t>sites</t>
        </is>
      </c>
      <c r="G117" s="3" t="inlineStr">
        <is>
          <t>HighAvailability</t>
        </is>
      </c>
      <c r="H117" s="3" t="inlineStr">
        <is>
          <t>Logic App should avoid using Client Affinity</t>
        </is>
      </c>
      <c r="I117" s="3" t="inlineStr">
        <is>
          <t>Medium</t>
        </is>
      </c>
      <c r="J117" s="3" t="inlineStr">
        <is>
          <t>Logic App should disable Client Affinity (ARR Affinity) for better scalability and reliability.</t>
        </is>
      </c>
      <c r="K117" s="3" t="str">
        <f>HYPERLINK("https://learn.microsoft.com/en-us/azure/well-architected/service-guides/azure-app-service/reliability#checklist","https://learn.microsoft.com/en-us/azure/well-architected/service-guides/azure-app-service/reliability#checklist")</f>
      </c>
      <c r="L117" s="3" t="inlineStr">
        <is>
          <t>logics-013</t>
        </is>
      </c>
    </row>
    <row r="118" s="2" customFormat="1">
      <c r="A118" s="2" t="inlineStr">
        <is>
          <t>true</t>
        </is>
      </c>
      <c r="B118" s="2" t="inlineStr">
        <is>
          <t>0</t>
        </is>
      </c>
      <c r="C118" s="2" t="inlineStr">
        <is>
          <t>Azure Service</t>
        </is>
      </c>
      <c r="D118" s="2" t="inlineStr">
        <is>
          <t>APRL</t>
        </is>
      </c>
      <c r="E118" s="2" t="inlineStr">
        <is>
          <t>Microsoft.Web</t>
        </is>
      </c>
      <c r="F118" s="2" t="inlineStr">
        <is>
          <t>sites</t>
        </is>
      </c>
      <c r="G118" s="2" t="inlineStr">
        <is>
          <t>HighAvailability</t>
        </is>
      </c>
      <c r="H118" s="2" t="inlineStr">
        <is>
          <t>Enable auto heal for Functions App</t>
        </is>
      </c>
      <c r="I118" s="2" t="inlineStr">
        <is>
          <t>Low</t>
        </is>
      </c>
      <c r="J118" s="2" t="inlineStr">
        <is>
          <t xml:space="preserve">Auto Heal allows you to mitigate your apps when it runs into unexpected situations like HTTP server errors, resource exhaustion, etc. You can configure different triggers based on your need and choose to recycle the app to recover it from a bad state.
</t>
        </is>
      </c>
      <c r="K118" s="2" t="str">
        <f>HYPERLINK("https://azure.github.io/AppService/2018/09/10/Announcing-the-New-Auto-Healing-Experience-in-App-Service-Diagnostics.html","https://azure.github.io/AppService/2018/09/10/Announcing-the-New-Auto-Healing-Experience-in-App-Service-Diagnostics.html")</f>
      </c>
      <c r="L118" s="2" t="inlineStr">
        <is>
          <t>c6c4b962-5af4-447a-9d74-7b9c53a5dff5</t>
        </is>
      </c>
    </row>
    <row r="119" s="3" customFormat="1">
      <c r="A119" s="3" t="inlineStr">
        <is>
          <t>true</t>
        </is>
      </c>
      <c r="B119" s="3" t="inlineStr">
        <is>
          <t>0</t>
        </is>
      </c>
      <c r="C119" s="3" t="inlineStr">
        <is>
          <t>Azure Service</t>
        </is>
      </c>
      <c r="D119" s="3" t="inlineStr">
        <is>
          <t>AZQR</t>
        </is>
      </c>
      <c r="E119" s="3" t="inlineStr">
        <is>
          <t>Microsoft.Web</t>
        </is>
      </c>
      <c r="F119" s="3" t="inlineStr">
        <is>
          <t>sites</t>
        </is>
      </c>
      <c r="G119" s="3" t="inlineStr">
        <is>
          <t>Security</t>
        </is>
      </c>
      <c r="H119" s="3" t="inlineStr">
        <is>
          <t>Logic App should use VNET integration</t>
        </is>
      </c>
      <c r="I119" s="3" t="inlineStr">
        <is>
          <t>Medium</t>
        </is>
      </c>
      <c r="J119" s="3" t="inlineStr">
        <is>
          <t>Logic App should use virtual network integration to securely access resources in Azure virtual networks.</t>
        </is>
      </c>
      <c r="K119" s="3" t="str">
        <f>HYPERLINK("https://learn.microsoft.com/en-us/azure/app-service/overview-vnet-integration","https://learn.microsoft.com/en-us/azure/app-service/overview-vnet-integration")</f>
      </c>
      <c r="L119" s="3" t="inlineStr">
        <is>
          <t>logics-009</t>
        </is>
      </c>
    </row>
    <row r="120" s="2" customFormat="1">
      <c r="A120" s="2" t="inlineStr">
        <is>
          <t>true</t>
        </is>
      </c>
      <c r="B120" s="2" t="inlineStr">
        <is>
          <t>0</t>
        </is>
      </c>
      <c r="C120" s="2" t="inlineStr">
        <is>
          <t>Azure Service</t>
        </is>
      </c>
      <c r="D120" s="2" t="inlineStr">
        <is>
          <t>AZQR</t>
        </is>
      </c>
      <c r="E120" s="2" t="inlineStr">
        <is>
          <t>Microsoft.Web</t>
        </is>
      </c>
      <c r="F120" s="2" t="inlineStr">
        <is>
          <t>sites</t>
        </is>
      </c>
      <c r="G120" s="2" t="inlineStr">
        <is>
          <t>Security</t>
        </is>
      </c>
      <c r="H120" s="2" t="inlineStr">
        <is>
          <t>Function should use HTTPS only</t>
        </is>
      </c>
      <c r="I120" s="2" t="inlineStr">
        <is>
          <t>High</t>
        </is>
      </c>
      <c r="J120" s="2" t="inlineStr">
        <is>
          <t>Function App should enforce HTTPS-only traffic to ensure all communications are encrypted and secure.</t>
        </is>
      </c>
      <c r="K120" s="2" t="str">
        <f>HYPERLINK("https://learn.microsoft.com/azure/app-service/configure-ssl-bindings#enforce-https","https://learn.microsoft.com/azure/app-service/configure-ssl-bindings#enforce-https")</f>
      </c>
      <c r="L120" s="2" t="inlineStr">
        <is>
          <t>func-007</t>
        </is>
      </c>
    </row>
    <row r="121" s="3" customFormat="1">
      <c r="A121" s="3" t="inlineStr">
        <is>
          <t>true</t>
        </is>
      </c>
      <c r="B121" s="3" t="inlineStr">
        <is>
          <t>0</t>
        </is>
      </c>
      <c r="C121" s="3" t="inlineStr">
        <is>
          <t>Azure Service</t>
        </is>
      </c>
      <c r="D121" s="3" t="inlineStr">
        <is>
          <t>AZQR</t>
        </is>
      </c>
      <c r="E121" s="3" t="inlineStr">
        <is>
          <t>Microsoft.Web</t>
        </is>
      </c>
      <c r="F121" s="3" t="inlineStr">
        <is>
          <t>sites</t>
        </is>
      </c>
      <c r="G121" s="3" t="inlineStr">
        <is>
          <t>Security</t>
        </is>
      </c>
      <c r="H121" s="3" t="inlineStr">
        <is>
          <t>App Service should use HTTPS only</t>
        </is>
      </c>
      <c r="I121" s="3" t="inlineStr">
        <is>
          <t>High</t>
        </is>
      </c>
      <c r="J121" s="3" t="inlineStr">
        <is>
          <t>App Service should enforce HTTPS-only traffic to ensure all communications are encrypted and secure.</t>
        </is>
      </c>
      <c r="K121" s="3" t="str">
        <f>HYPERLINK("https://learn.microsoft.com/azure/app-service/configure-ssl-bindings#enforce-https","https://learn.microsoft.com/azure/app-service/configure-ssl-bindings#enforce-https")</f>
      </c>
      <c r="L121" s="3" t="inlineStr">
        <is>
          <t>app-007</t>
        </is>
      </c>
    </row>
    <row r="122" s="2" customFormat="1">
      <c r="A122" s="2" t="inlineStr">
        <is>
          <t>false</t>
        </is>
      </c>
      <c r="B122" s="2" t="inlineStr">
        <is>
          <t>2</t>
        </is>
      </c>
      <c r="C122" s="2" t="inlineStr">
        <is>
          <t>Azure Service</t>
        </is>
      </c>
      <c r="D122" s="2" t="inlineStr">
        <is>
          <t>APRL</t>
        </is>
      </c>
      <c r="E122" s="2" t="inlineStr">
        <is>
          <t>Microsoft.Web</t>
        </is>
      </c>
      <c r="F122" s="2" t="inlineStr">
        <is>
          <t>sites</t>
        </is>
      </c>
      <c r="G122" s="2" t="inlineStr">
        <is>
          <t>OtherBestPractices</t>
        </is>
      </c>
      <c r="H122" s="2" t="inlineStr">
        <is>
          <t>Deploy to a staging slot</t>
        </is>
      </c>
      <c r="I122" s="2" t="inlineStr">
        <is>
          <t>Low</t>
        </is>
      </c>
      <c r="J122" s="2" t="inlineStr">
        <is>
          <t xml:space="preserve">Create a deployment slot for staging to deploy updates, verify them, and ensure all instances are warmed up before production swap, reducing bad update chances. An LKG slot allows easy rollback to a previous good deployment if issues arise later, enhancing reliability.
</t>
        </is>
      </c>
      <c r="K122" s="2" t="str">
        <f>HYPERLINK("https://learn.microsoft.com/azure/app-service-web/web-sites-staged-publishing","https://learn.microsoft.com/azure/app-service-web/web-sites-staged-publishing")</f>
      </c>
      <c r="L122" s="2" t="inlineStr">
        <is>
          <t>a1d91661-32d4-430b-b3b6-5adeb0975df7</t>
        </is>
      </c>
    </row>
    <row r="123" s="3" customFormat="1">
      <c r="A123" s="3" t="inlineStr">
        <is>
          <t>false</t>
        </is>
      </c>
      <c r="B123" s="3" t="inlineStr">
        <is>
          <t>2</t>
        </is>
      </c>
      <c r="C123" s="3" t="inlineStr">
        <is>
          <t>Azure Service</t>
        </is>
      </c>
      <c r="D123" s="3" t="inlineStr">
        <is>
          <t>AZQR</t>
        </is>
      </c>
      <c r="E123" s="3" t="inlineStr">
        <is>
          <t>Microsoft.Web</t>
        </is>
      </c>
      <c r="F123" s="3" t="inlineStr">
        <is>
          <t>sites</t>
        </is>
      </c>
      <c r="G123" s="3" t="inlineStr">
        <is>
          <t>HighAvailability</t>
        </is>
      </c>
      <c r="H123" s="3" t="inlineStr">
        <is>
          <t>App Service should avoid using Client Affinity</t>
        </is>
      </c>
      <c r="I123" s="3" t="inlineStr">
        <is>
          <t>Medium</t>
        </is>
      </c>
      <c r="J123" s="3" t="inlineStr">
        <is>
          <t>App Service should disable Client Affinity (ARR Affinity) for better scalability and reliability. Client affinity can cause session stickiness issues in multi-instance deployments.</t>
        </is>
      </c>
      <c r="K123" s="3" t="str">
        <f>HYPERLINK("https://learn.microsoft.com/en-us/azure/well-architected/service-guides/azure-app-service/reliability#checklist","https://learn.microsoft.com/en-us/azure/well-architected/service-guides/azure-app-service/reliability#checklist")</f>
      </c>
      <c r="L123" s="3" t="inlineStr">
        <is>
          <t>app-015</t>
        </is>
      </c>
    </row>
    <row r="124" s="2" customFormat="1">
      <c r="A124" s="2" t="inlineStr">
        <is>
          <t>true</t>
        </is>
      </c>
      <c r="B124" s="2" t="inlineStr">
        <is>
          <t>0</t>
        </is>
      </c>
      <c r="C124" s="2" t="inlineStr">
        <is>
          <t>Azure Service</t>
        </is>
      </c>
      <c r="D124" s="2" t="inlineStr">
        <is>
          <t>AZQR</t>
        </is>
      </c>
      <c r="E124" s="2" t="inlineStr">
        <is>
          <t>Microsoft.Web</t>
        </is>
      </c>
      <c r="F124" s="2" t="inlineStr">
        <is>
          <t>sites</t>
        </is>
      </c>
      <c r="G124" s="2" t="inlineStr">
        <is>
          <t>Security</t>
        </is>
      </c>
      <c r="H124" s="2" t="inlineStr">
        <is>
          <t>Logic App should have VNET Route all enabled for VNET integration</t>
        </is>
      </c>
      <c r="I124" s="2" t="inlineStr">
        <is>
          <t>Medium</t>
        </is>
      </c>
      <c r="J124" s="2" t="inlineStr">
        <is>
          <t>Logic App should have VNET Route All enabled to ensure all outbound traffic goes through the integrated virtual network.</t>
        </is>
      </c>
      <c r="K124" s="2" t="str">
        <f>HYPERLINK("https://learn.microsoft.com/en-us/azure/app-service/overview-vnet-integration","https://learn.microsoft.com/en-us/azure/app-service/overview-vnet-integration")</f>
      </c>
      <c r="L124" s="2" t="inlineStr">
        <is>
          <t>logics-010</t>
        </is>
      </c>
    </row>
    <row r="125" s="3" customFormat="1">
      <c r="A125" s="3" t="inlineStr">
        <is>
          <t>false</t>
        </is>
      </c>
      <c r="B125" s="3" t="inlineStr">
        <is>
          <t>2</t>
        </is>
      </c>
      <c r="C125" s="3" t="inlineStr">
        <is>
          <t>Azure Service</t>
        </is>
      </c>
      <c r="D125" s="3" t="inlineStr">
        <is>
          <t>AZQR</t>
        </is>
      </c>
      <c r="E125" s="3" t="inlineStr">
        <is>
          <t>Microsoft.Web</t>
        </is>
      </c>
      <c r="F125" s="3" t="inlineStr">
        <is>
          <t>sites</t>
        </is>
      </c>
      <c r="G125" s="3" t="inlineStr">
        <is>
          <t>Security</t>
        </is>
      </c>
      <c r="H125" s="3" t="inlineStr">
        <is>
          <t>App Service should have VNET Route all enabled for VNET integration</t>
        </is>
      </c>
      <c r="I125" s="3" t="inlineStr">
        <is>
          <t>Medium</t>
        </is>
      </c>
      <c r="J125" s="3" t="inlineStr">
        <is>
          <t>App Service should have VNET Route All enabled to ensure all outbound traffic goes through the integrated virtual network.</t>
        </is>
      </c>
      <c r="K125" s="3" t="str">
        <f>HYPERLINK("https://learn.microsoft.com/en-us/azure/app-service/overview-vnet-integration","https://learn.microsoft.com/en-us/azure/app-service/overview-vnet-integration")</f>
      </c>
      <c r="L125" s="3" t="inlineStr">
        <is>
          <t>app-010</t>
        </is>
      </c>
    </row>
    <row r="126" s="2" customFormat="1">
      <c r="A126" s="2" t="inlineStr">
        <is>
          <t>true</t>
        </is>
      </c>
      <c r="B126" s="2" t="inlineStr">
        <is>
          <t>0</t>
        </is>
      </c>
      <c r="C126" s="2" t="inlineStr">
        <is>
          <t>Azure Service</t>
        </is>
      </c>
      <c r="D126" s="2" t="inlineStr">
        <is>
          <t>AZQR</t>
        </is>
      </c>
      <c r="E126" s="2" t="inlineStr">
        <is>
          <t>Microsoft.Web</t>
        </is>
      </c>
      <c r="F126" s="2" t="inlineStr">
        <is>
          <t>sites</t>
        </is>
      </c>
      <c r="G126" s="2" t="inlineStr">
        <is>
          <t>Security</t>
        </is>
      </c>
      <c r="H126" s="2" t="inlineStr">
        <is>
          <t>Function should have VNET Route all enabled for VNET integration</t>
        </is>
      </c>
      <c r="I126" s="2" t="inlineStr">
        <is>
          <t>Medium</t>
        </is>
      </c>
      <c r="J126" s="2" t="inlineStr">
        <is>
          <t>Function App should have VNET Route All enabled to ensure all outbound traffic goes through the integrated virtual network.</t>
        </is>
      </c>
      <c r="K126" s="2" t="str">
        <f>HYPERLINK("https://learn.microsoft.com/en-us/azure/app-service/overview-vnet-integration","https://learn.microsoft.com/en-us/azure/app-service/overview-vnet-integration")</f>
      </c>
      <c r="L126" s="2" t="inlineStr">
        <is>
          <t>func-010</t>
        </is>
      </c>
    </row>
    <row r="127" s="3" customFormat="1">
      <c r="A127" s="3" t="inlineStr">
        <is>
          <t>true</t>
        </is>
      </c>
      <c r="B127" s="3" t="inlineStr">
        <is>
          <t>0</t>
        </is>
      </c>
      <c r="C127" s="3" t="inlineStr">
        <is>
          <t>Azure Service</t>
        </is>
      </c>
      <c r="D127" s="3" t="inlineStr">
        <is>
          <t>AZQR</t>
        </is>
      </c>
      <c r="E127" s="3" t="inlineStr">
        <is>
          <t>microsoft.web</t>
        </is>
      </c>
      <c r="F127" s="3" t="inlineStr">
        <is>
          <t>sites</t>
        </is>
      </c>
      <c r="G127" s="3" t="inlineStr">
        <is>
          <t>MonitoringAndAlerting</t>
        </is>
      </c>
      <c r="H127" s="3" t="inlineStr">
        <is>
          <t>App should have diagnostic settings enabled</t>
        </is>
      </c>
      <c r="I127" s="3" t="inlineStr">
        <is>
          <t>Low</t>
        </is>
      </c>
      <c r="J127" s="3" t="inlineStr">
        <is>
          <t/>
        </is>
      </c>
      <c r="K127" s="3" t="str">
        <f>HYPERLINK("https://learn.microsoft.com/en-us/azure/app-service/troubleshoot-diagnostic-logs#send-logs-to-azure-monitor","https://learn.microsoft.com/en-us/azure/app-service/troubleshoot-diagnostic-logs#send-logs-to-azure-monitor")</f>
      </c>
      <c r="L127" s="3" t="inlineStr">
        <is>
          <t>app-001</t>
        </is>
      </c>
    </row>
    <row r="128" s="2" customFormat="1">
      <c r="A128" s="2" t="inlineStr">
        <is>
          <t>true</t>
        </is>
      </c>
      <c r="B128" s="2" t="inlineStr">
        <is>
          <t>0</t>
        </is>
      </c>
      <c r="C128" s="2" t="inlineStr">
        <is>
          <t>Azure Service</t>
        </is>
      </c>
      <c r="D128" s="2" t="inlineStr">
        <is>
          <t>AZQR</t>
        </is>
      </c>
      <c r="E128" s="2" t="inlineStr">
        <is>
          <t>Microsoft.Web</t>
        </is>
      </c>
      <c r="F128" s="2" t="inlineStr">
        <is>
          <t>sites</t>
        </is>
      </c>
      <c r="G128" s="2" t="inlineStr">
        <is>
          <t>Security</t>
        </is>
      </c>
      <c r="H128" s="2" t="inlineStr">
        <is>
          <t>Function should use VNET integration</t>
        </is>
      </c>
      <c r="I128" s="2" t="inlineStr">
        <is>
          <t>Medium</t>
        </is>
      </c>
      <c r="J128" s="2" t="inlineStr">
        <is>
          <t>Function App should use virtual network integration to securely access resources in Azure virtual networks.</t>
        </is>
      </c>
      <c r="K128" s="2" t="str">
        <f>HYPERLINK("https://learn.microsoft.com/en-us/azure/app-service/overview-vnet-integration","https://learn.microsoft.com/en-us/azure/app-service/overview-vnet-integration")</f>
      </c>
      <c r="L128" s="2" t="inlineStr">
        <is>
          <t>func-009</t>
        </is>
      </c>
    </row>
    <row r="129" s="3" customFormat="1">
      <c r="A129" s="3" t="inlineStr">
        <is>
          <t>true</t>
        </is>
      </c>
      <c r="B129" s="3" t="inlineStr">
        <is>
          <t>0</t>
        </is>
      </c>
      <c r="C129" s="3" t="inlineStr">
        <is>
          <t>Azure Service</t>
        </is>
      </c>
      <c r="D129" s="3" t="inlineStr">
        <is>
          <t>AZQR</t>
        </is>
      </c>
      <c r="E129" s="3" t="inlineStr">
        <is>
          <t>Microsoft.Web</t>
        </is>
      </c>
      <c r="F129" s="3" t="inlineStr">
        <is>
          <t>sites</t>
        </is>
      </c>
      <c r="G129" s="3" t="inlineStr">
        <is>
          <t>HighAvailability</t>
        </is>
      </c>
      <c r="H129" s="3" t="inlineStr">
        <is>
          <t>Function should avoid using Client Affinity</t>
        </is>
      </c>
      <c r="I129" s="3" t="inlineStr">
        <is>
          <t>Medium</t>
        </is>
      </c>
      <c r="J129" s="3" t="inlineStr">
        <is>
          <t>Function App should disable Client Affinity (ARR Affinity) for better scalability and reliability. Client affinity is generally not needed for Function Apps.</t>
        </is>
      </c>
      <c r="K129" s="3" t="str">
        <f>HYPERLINK("https://learn.microsoft.com/en-us/azure/well-architected/service-guides/azure-app-service/reliability#checklist","https://learn.microsoft.com/en-us/azure/well-architected/service-guides/azure-app-service/reliability#checklist")</f>
      </c>
      <c r="L129" s="3" t="inlineStr">
        <is>
          <t>func-013</t>
        </is>
      </c>
    </row>
    <row r="130" s="2" customFormat="1">
      <c r="A130" s="2" t="inlineStr">
        <is>
          <t>false</t>
        </is>
      </c>
      <c r="B130" s="2" t="inlineStr">
        <is>
          <t>2</t>
        </is>
      </c>
      <c r="C130" s="2" t="inlineStr">
        <is>
          <t>Azure Service</t>
        </is>
      </c>
      <c r="D130" s="2" t="inlineStr">
        <is>
          <t>APRL</t>
        </is>
      </c>
      <c r="E130" s="2" t="inlineStr">
        <is>
          <t>Microsoft.Web</t>
        </is>
      </c>
      <c r="F130" s="2" t="inlineStr">
        <is>
          <t>sites</t>
        </is>
      </c>
      <c r="G130" s="2" t="inlineStr">
        <is>
          <t>OtherBestPractices</t>
        </is>
      </c>
      <c r="H130" s="2" t="inlineStr">
        <is>
          <t>Store configuration as app settings for Web Sites</t>
        </is>
      </c>
      <c r="I130" s="2" t="inlineStr">
        <is>
          <t>Medium</t>
        </is>
      </c>
      <c r="J130" s="2" t="inlineStr">
        <is>
          <t xml:space="preserve">Use app settings for configuration and define them in Resource Manager templates or via PowerShell to facilitate part of an automated deployment/update process for improved reliability.
</t>
        </is>
      </c>
      <c r="K130" s="2" t="str">
        <f>HYPERLINK("https://learn.microsoft.com/azure/app-service-web/web-sites-configure","https://learn.microsoft.com/azure/app-service-web/web-sites-configure")</f>
      </c>
      <c r="L130" s="2" t="inlineStr">
        <is>
          <t>0b80b67c-afbe-4988-ad58-a85a146b681e</t>
        </is>
      </c>
    </row>
    <row r="131" s="3" customFormat="1">
      <c r="A131" s="3" t="inlineStr">
        <is>
          <t>false</t>
        </is>
      </c>
      <c r="B131" s="3" t="inlineStr">
        <is>
          <t>2</t>
        </is>
      </c>
      <c r="C131" s="3" t="inlineStr">
        <is>
          <t>Azure Service</t>
        </is>
      </c>
      <c r="D131" s="3" t="inlineStr">
        <is>
          <t>APRL</t>
        </is>
      </c>
      <c r="E131" s="3" t="inlineStr">
        <is>
          <t>Microsoft.Web</t>
        </is>
      </c>
      <c r="F131" s="3" t="inlineStr">
        <is>
          <t>sites</t>
        </is>
      </c>
      <c r="G131" s="3" t="inlineStr">
        <is>
          <t>OtherBestPractices</t>
        </is>
      </c>
      <c r="H131" s="3" t="inlineStr">
        <is>
          <t>Enable Health check for App Services</t>
        </is>
      </c>
      <c r="I131" s="3" t="inlineStr">
        <is>
          <t>High</t>
        </is>
      </c>
      <c r="J131" s="3" t="inlineStr">
        <is>
          <t xml:space="preserve">Use Health Check for production workloads. Health check increases your application's availability by rerouting requests away from unhealthy instances, and replacing instances if they remain unhealthy. The Health check path should check critical components of your application.
</t>
        </is>
      </c>
      <c r="K131" s="3" t="str">
        <f>HYPERLINK("https://learn.microsoft.com/azure/app-service/monitor-instances-health-check?tabs=dotnet#enable-health-check","https://learn.microsoft.com/azure/app-service/monitor-instances-health-check?tabs=dotnet#enable-health-check")</f>
      </c>
      <c r="L131" s="3" t="inlineStr">
        <is>
          <t>fd049c28-ae6d-48f0-a641-cc3ba1a3fe1d</t>
        </is>
      </c>
    </row>
    <row r="132" s="2" customFormat="1">
      <c r="A132" s="2" t="inlineStr">
        <is>
          <t>true</t>
        </is>
      </c>
      <c r="B132" s="2" t="inlineStr">
        <is>
          <t>0</t>
        </is>
      </c>
      <c r="C132" s="2" t="inlineStr">
        <is>
          <t>Azure Service</t>
        </is>
      </c>
      <c r="D132" s="2" t="inlineStr">
        <is>
          <t>AZQR</t>
        </is>
      </c>
      <c r="E132" s="2" t="inlineStr">
        <is>
          <t>Microsoft.Web</t>
        </is>
      </c>
      <c r="F132" s="2" t="inlineStr">
        <is>
          <t>sites</t>
        </is>
      </c>
      <c r="G132" s="2" t="inlineStr">
        <is>
          <t>Security</t>
        </is>
      </c>
      <c r="H132" s="2" t="inlineStr">
        <is>
          <t>Logic App should use HTTPS only</t>
        </is>
      </c>
      <c r="I132" s="2" t="inlineStr">
        <is>
          <t>High</t>
        </is>
      </c>
      <c r="J132" s="2" t="inlineStr">
        <is>
          <t>Logic App should enforce HTTPS-only traffic to ensure all communications are encrypted and secure.</t>
        </is>
      </c>
      <c r="K132" s="2" t="str">
        <f>HYPERLINK("https://learn.microsoft.com/azure/app-service/configure-ssl-bindings#enforce-https","https://learn.microsoft.com/azure/app-service/configure-ssl-bindings#enforce-https")</f>
      </c>
      <c r="L132" s="2" t="inlineStr">
        <is>
          <t>logics-007</t>
        </is>
      </c>
    </row>
    <row r="133" s="3" customFormat="1">
      <c r="A133" s="3" t="inlineStr">
        <is>
          <t>true</t>
        </is>
      </c>
      <c r="B133" s="3" t="inlineStr">
        <is>
          <t>0</t>
        </is>
      </c>
      <c r="C133" s="3" t="inlineStr">
        <is>
          <t>Azure Service</t>
        </is>
      </c>
      <c r="D133" s="3" t="inlineStr">
        <is>
          <t>AZQR</t>
        </is>
      </c>
      <c r="E133" s="3" t="inlineStr">
        <is>
          <t>Microsoft.Web</t>
        </is>
      </c>
      <c r="F133" s="3" t="inlineStr">
        <is>
          <t>sites</t>
        </is>
      </c>
      <c r="G133" s="3" t="inlineStr">
        <is>
          <t>Security</t>
        </is>
      </c>
      <c r="H133" s="3" t="inlineStr">
        <is>
          <t>App Service should use VNET integration</t>
        </is>
      </c>
      <c r="I133" s="3" t="inlineStr">
        <is>
          <t>Medium</t>
        </is>
      </c>
      <c r="J133" s="3" t="inlineStr">
        <is>
          <t>App Service should use virtual network integration to securely access resources in Azure virtual networks.</t>
        </is>
      </c>
      <c r="K133" s="3" t="str">
        <f>HYPERLINK("https://learn.microsoft.com/en-us/azure/app-service/overview-vnet-integration","https://learn.microsoft.com/en-us/azure/app-service/overview-vnet-integration")</f>
      </c>
      <c r="L133" s="3" t="inlineStr">
        <is>
          <t>app-009</t>
        </is>
      </c>
    </row>
    <row r="134" s="2" customFormat="1">
      <c r="A134" s="2" t="inlineStr">
        <is>
          <t>N/A</t>
        </is>
      </c>
      <c r="B134" s="2" t="inlineStr">
        <is>
          <t>0</t>
        </is>
      </c>
      <c r="C134" s="2" t="inlineStr">
        <is>
          <t>Azure Service</t>
        </is>
      </c>
      <c r="D134" s="2" t="inlineStr">
        <is>
          <t>APRL</t>
        </is>
      </c>
      <c r="E134" s="2" t="inlineStr">
        <is>
          <t>Microsoft.DocumentDB</t>
        </is>
      </c>
      <c r="F134" s="2" t="inlineStr">
        <is>
          <t>databaseAccounts</t>
        </is>
      </c>
      <c r="G134" s="2" t="inlineStr">
        <is>
          <t>DisasterRecovery</t>
        </is>
      </c>
      <c r="H134" s="2" t="inlineStr">
        <is>
          <t>Configure continuous backup mode</t>
        </is>
      </c>
      <c r="I134" s="2" t="inlineStr">
        <is>
          <t>High</t>
        </is>
      </c>
      <c r="J134" s="2" t="inlineStr">
        <is>
          <t xml:space="preserve">Cosmos DB's backup is always on, offering protection against data mishaps. Continuous mode allows for self-serve restoration to a pre-mishap point, unlike periodic mode which requires contacting Microsoft support, leading to longer restore times.
</t>
        </is>
      </c>
      <c r="K134" s="2" t="str">
        <f>HYPERLINK("https://learn.microsoft.com/azure/cosmos-db/continuous-backup-restore-introduction","https://learn.microsoft.com/azure/cosmos-db/continuous-backup-restore-introduction")</f>
      </c>
      <c r="L134" s="2" t="inlineStr">
        <is>
          <t>e544520b-8505-7841-9e77-1f1974ee86ec</t>
        </is>
      </c>
    </row>
    <row r="135" s="3" customFormat="1">
      <c r="A135" s="3" t="inlineStr">
        <is>
          <t>N/A</t>
        </is>
      </c>
      <c r="B135" s="3" t="inlineStr">
        <is>
          <t>0</t>
        </is>
      </c>
      <c r="C135" s="3" t="inlineStr">
        <is>
          <t>Azure Service</t>
        </is>
      </c>
      <c r="D135" s="3" t="inlineStr">
        <is>
          <t>APRL</t>
        </is>
      </c>
      <c r="E135" s="3" t="inlineStr">
        <is>
          <t>Microsoft.DocumentDB</t>
        </is>
      </c>
      <c r="F135" s="3" t="inlineStr">
        <is>
          <t>databaseAccounts</t>
        </is>
      </c>
      <c r="G135" s="3" t="inlineStr">
        <is>
          <t>HighAvailability</t>
        </is>
      </c>
      <c r="H135" s="3" t="inlineStr">
        <is>
          <t>Evaluate multi-region write capability</t>
        </is>
      </c>
      <c r="I135" s="3" t="inlineStr">
        <is>
          <t>High</t>
        </is>
      </c>
      <c r="J135" s="3" t="inlineStr">
        <is>
          <t xml:space="preserve">Multi-region writes enable high availability but require careful consistency and conflict resolution. Using Bounded Staleness is an anti-pattern, as replication lag increases latency and coordination overhead. This setup undermines scalability, impacting performance and availability.
</t>
        </is>
      </c>
      <c r="K135" s="3" t="str">
        <f>HYPERLINK("https://learn.microsoft.com/azure/cosmos-db/distribute-data-globally","https://learn.microsoft.com/azure/cosmos-db/distribute-data-globally")</f>
      </c>
      <c r="L135" s="3" t="inlineStr">
        <is>
          <t>9ce78192-74a0-104c-b5bb-9a443f941649</t>
        </is>
      </c>
    </row>
    <row r="136" s="2" customFormat="1">
      <c r="A136" s="2" t="inlineStr">
        <is>
          <t>N/A</t>
        </is>
      </c>
      <c r="B136" s="2" t="inlineStr">
        <is>
          <t>0</t>
        </is>
      </c>
      <c r="C136" s="2" t="inlineStr">
        <is>
          <t>Azure Service</t>
        </is>
      </c>
      <c r="D136" s="2" t="inlineStr">
        <is>
          <t>APRL</t>
        </is>
      </c>
      <c r="E136" s="2" t="inlineStr">
        <is>
          <t>Microsoft.DocumentDB</t>
        </is>
      </c>
      <c r="F136" s="2" t="inlineStr">
        <is>
          <t>databaseAccounts</t>
        </is>
      </c>
      <c r="G136" s="2" t="inlineStr">
        <is>
          <t>DisasterRecovery</t>
        </is>
      </c>
      <c r="H136" s="2" t="inlineStr">
        <is>
          <t>Enable service-managed failover for multi-region accounts with single write region</t>
        </is>
      </c>
      <c r="I136" s="2" t="inlineStr">
        <is>
          <t>High</t>
        </is>
      </c>
      <c r="J136" s="2" t="inlineStr">
        <is>
          <t xml:space="preserve">Cosmos DB boasts high uptime and resiliency. Even so, issues may arise. With Service-Managed failover, if a region is down, Cosmos DB automatically switches to the next available region, requiring no user action.
</t>
        </is>
      </c>
      <c r="K136" s="2" t="str">
        <f>HYPERLINK("https://learn.microsoft.com/azure/cosmos-db/how-to-manage-database-account#automatic-failover","https://learn.microsoft.com/azure/cosmos-db/how-to-manage-database-account#automatic-failover")</f>
      </c>
      <c r="L136" s="2" t="inlineStr">
        <is>
          <t>9cabded7-a1fc-6e4a-944b-d7dd98ea31a2</t>
        </is>
      </c>
    </row>
    <row r="137" s="3" customFormat="1">
      <c r="A137" s="3" t="inlineStr">
        <is>
          <t>N/A</t>
        </is>
      </c>
      <c r="B137" s="3" t="inlineStr">
        <is>
          <t>0</t>
        </is>
      </c>
      <c r="C137" s="3" t="inlineStr">
        <is>
          <t>Azure Service</t>
        </is>
      </c>
      <c r="D137" s="3" t="inlineStr">
        <is>
          <t>AZQR</t>
        </is>
      </c>
      <c r="E137" s="3" t="inlineStr">
        <is>
          <t>Microsoft.DocumentDB</t>
        </is>
      </c>
      <c r="F137" s="3" t="inlineStr">
        <is>
          <t>databaseAccounts</t>
        </is>
      </c>
      <c r="G137" s="3" t="inlineStr">
        <is>
          <t>Security</t>
        </is>
      </c>
      <c r="H137" s="3" t="inlineStr">
        <is>
          <t>CosmosDB should have private endpoints enabled</t>
        </is>
      </c>
      <c r="I137" s="3" t="inlineStr">
        <is>
          <t>High</t>
        </is>
      </c>
      <c r="J137" s="3" t="inlineStr">
        <is>
          <t>CosmosDB should have private endpoints enabled</t>
        </is>
      </c>
      <c r="K137" s="3" t="str">
        <f>HYPERLINK("https://learn.microsoft.com/azure/cosmos-db/how-to-configure-private-endpoints","https://learn.microsoft.com/azure/cosmos-db/how-to-configure-private-endpoints")</f>
      </c>
      <c r="L137" s="3" t="inlineStr">
        <is>
          <t>cosmos-004</t>
        </is>
      </c>
    </row>
    <row r="138" s="2" customFormat="1">
      <c r="A138" s="2" t="inlineStr">
        <is>
          <t>N/A</t>
        </is>
      </c>
      <c r="B138" s="2" t="inlineStr">
        <is>
          <t>0</t>
        </is>
      </c>
      <c r="C138" s="2" t="inlineStr">
        <is>
          <t>Azure Service</t>
        </is>
      </c>
      <c r="D138" s="2" t="inlineStr">
        <is>
          <t>AZQR</t>
        </is>
      </c>
      <c r="E138" s="2" t="inlineStr">
        <is>
          <t>Microsoft.DocumentDB</t>
        </is>
      </c>
      <c r="F138" s="2" t="inlineStr">
        <is>
          <t>databaseAccounts</t>
        </is>
      </c>
      <c r="G138" s="2" t="inlineStr">
        <is>
          <t>Security</t>
        </is>
      </c>
      <c r="H138" s="2" t="inlineStr">
        <is>
          <t>CosmosDB should have local authentication disabled</t>
        </is>
      </c>
      <c r="I138" s="2" t="inlineStr">
        <is>
          <t>High</t>
        </is>
      </c>
      <c r="J138" s="2" t="inlineStr">
        <is>
          <t>CosmosDB should have local authentication disabled</t>
        </is>
      </c>
      <c r="K138" s="2" t="str">
        <f>HYPERLINK("https://learn.microsoft.com/azure/cosmos-db/how-to-setup-rbac","https://learn.microsoft.com/azure/cosmos-db/how-to-setup-rbac")</f>
      </c>
      <c r="L138" s="2" t="inlineStr">
        <is>
          <t>cosmos-008</t>
        </is>
      </c>
    </row>
    <row r="139" s="3" customFormat="1">
      <c r="A139" s="3" t="inlineStr">
        <is>
          <t>N/A</t>
        </is>
      </c>
      <c r="B139" s="3" t="inlineStr">
        <is>
          <t>0</t>
        </is>
      </c>
      <c r="C139" s="3" t="inlineStr">
        <is>
          <t>Azure Service</t>
        </is>
      </c>
      <c r="D139" s="3" t="inlineStr">
        <is>
          <t>APRL</t>
        </is>
      </c>
      <c r="E139" s="3" t="inlineStr">
        <is>
          <t>Microsoft.DocumentDB</t>
        </is>
      </c>
      <c r="F139" s="3" t="inlineStr">
        <is>
          <t>databaseAccounts</t>
        </is>
      </c>
      <c r="G139" s="3" t="inlineStr">
        <is>
          <t>HighAvailability</t>
        </is>
      </c>
      <c r="H139" s="3" t="inlineStr">
        <is>
          <t>Enable availability zones</t>
        </is>
      </c>
      <c r="I139" s="3" t="inlineStr">
        <is>
          <t>High</t>
        </is>
      </c>
      <c r="J139" s="3" t="inlineStr">
        <is>
          <t xml:space="preserve">When availability zones are configured, Azure Cosmos DB intelligently distributes the 4 replicas of your data across all available zones. It ensures that your Azure Cosmos DB can withstand an outage in one availability zone and remain fully operational throughout.
</t>
        </is>
      </c>
      <c r="K139" s="3" t="str">
        <f>HYPERLINK("https://learn.microsoft.com/azure/reliability/reliability-cosmos-db-nosql","https://learn.microsoft.com/azure/reliability/reliability-cosmos-db-nosql")</f>
      </c>
      <c r="L139" s="3" t="inlineStr">
        <is>
          <t>921631f6-ed59-49a5-94c1-f0f3ececa580</t>
        </is>
      </c>
    </row>
    <row r="140" s="2" customFormat="1">
      <c r="A140" s="2" t="inlineStr">
        <is>
          <t>N/A</t>
        </is>
      </c>
      <c r="B140" s="2" t="inlineStr">
        <is>
          <t>0</t>
        </is>
      </c>
      <c r="C140" s="2" t="inlineStr">
        <is>
          <t>Azure Service</t>
        </is>
      </c>
      <c r="D140" s="2" t="inlineStr">
        <is>
          <t>APRL</t>
        </is>
      </c>
      <c r="E140" s="2" t="inlineStr">
        <is>
          <t>Microsoft.DocumentDB</t>
        </is>
      </c>
      <c r="F140" s="2" t="inlineStr">
        <is>
          <t>databaseAccounts</t>
        </is>
      </c>
      <c r="G140" s="2" t="inlineStr">
        <is>
          <t>HighAvailability</t>
        </is>
      </c>
      <c r="H140" s="2" t="inlineStr">
        <is>
          <t>Configure at least two regions for high availability</t>
        </is>
      </c>
      <c r="I140" s="2" t="inlineStr">
        <is>
          <t>High</t>
        </is>
      </c>
      <c r="J140" s="2" t="inlineStr">
        <is>
          <t xml:space="preserve">Enable a secondary region in Cosmos DB for higher SLA without downtime. Simple as pinning a location on a map. For Strong consistency, configure at least three regions for write availability in case of failure.
</t>
        </is>
      </c>
      <c r="K140" s="2" t="str">
        <f>HYPERLINK("https://learn.microsoft.com/azure/cosmos-db/distribute-data-globally","https://learn.microsoft.com/azure/cosmos-db/distribute-data-globally")</f>
      </c>
      <c r="L140" s="2" t="inlineStr">
        <is>
          <t>43663217-a1d3-844b-80ea-571a2ce37c6c</t>
        </is>
      </c>
    </row>
    <row r="141" s="3" customFormat="1">
      <c r="A141" s="3" t="inlineStr">
        <is>
          <t>N/A</t>
        </is>
      </c>
      <c r="B141" s="3" t="inlineStr">
        <is>
          <t>0</t>
        </is>
      </c>
      <c r="C141" s="3" t="inlineStr">
        <is>
          <t>Azure Service</t>
        </is>
      </c>
      <c r="D141" s="3" t="inlineStr">
        <is>
          <t>AZQR</t>
        </is>
      </c>
      <c r="E141" s="3" t="inlineStr">
        <is>
          <t>Microsoft.DocumentDB</t>
        </is>
      </c>
      <c r="F141" s="3" t="inlineStr">
        <is>
          <t>databaseAccounts</t>
        </is>
      </c>
      <c r="G141" s="3" t="inlineStr">
        <is>
          <t>Security</t>
        </is>
      </c>
      <c r="H141" s="3" t="inlineStr">
        <is>
          <t>CosmosDB: disable write operations on metadata resources (databases, containers, throughput) via account keys</t>
        </is>
      </c>
      <c r="I141" s="3" t="inlineStr">
        <is>
          <t>High</t>
        </is>
      </c>
      <c r="J141" s="3" t="inlineStr">
        <is>
          <t>CosmosDB: disable write operations on metadata resources (databases, containers, throughput) via account keys</t>
        </is>
      </c>
      <c r="K141" s="3" t="str">
        <f>HYPERLINK("https://learn.microsoft.com/azure/cosmos-db/how-to-setup-rbac","https://learn.microsoft.com/azure/cosmos-db/how-to-setup-rbac")</f>
      </c>
      <c r="L141" s="3" t="inlineStr">
        <is>
          <t>cosmos-009</t>
        </is>
      </c>
    </row>
    <row r="142" s="2" customFormat="1">
      <c r="A142" s="2" t="inlineStr">
        <is>
          <t>N/A</t>
        </is>
      </c>
      <c r="B142" s="2" t="inlineStr">
        <is>
          <t>0</t>
        </is>
      </c>
      <c r="C142" s="2" t="inlineStr">
        <is>
          <t>Azure Service</t>
        </is>
      </c>
      <c r="D142" s="2" t="inlineStr">
        <is>
          <t>AZQR</t>
        </is>
      </c>
      <c r="E142" s="2" t="inlineStr">
        <is>
          <t>microsoft.documentdb</t>
        </is>
      </c>
      <c r="F142" s="2" t="inlineStr">
        <is>
          <t>databaseaccounts</t>
        </is>
      </c>
      <c r="G142" s="2" t="inlineStr">
        <is>
          <t>MonitoringAndAlerting</t>
        </is>
      </c>
      <c r="H142" s="2" t="inlineStr">
        <is>
          <t>CosmosDB should have diagnostic settings enabled</t>
        </is>
      </c>
      <c r="I142" s="2" t="inlineStr">
        <is>
          <t>Low</t>
        </is>
      </c>
      <c r="J142" s="2" t="inlineStr">
        <is>
          <t/>
        </is>
      </c>
      <c r="K142" s="2" t="str">
        <f>HYPERLINK("https://learn.microsoft.com/en-us/azure/cosmos-db/monitor-resource-logs","https://learn.microsoft.com/en-us/azure/cosmos-db/monitor-resource-logs")</f>
      </c>
      <c r="L142" s="2" t="inlineStr">
        <is>
          <t>cosmos-001</t>
        </is>
      </c>
    </row>
    <row r="143" s="3" customFormat="1">
      <c r="A143" s="3" t="inlineStr">
        <is>
          <t>N/A</t>
        </is>
      </c>
      <c r="B143" s="3" t="inlineStr">
        <is>
          <t>0</t>
        </is>
      </c>
      <c r="C143" s="3" t="inlineStr">
        <is>
          <t>Azure Service</t>
        </is>
      </c>
      <c r="D143" s="3" t="inlineStr">
        <is>
          <t>APRL</t>
        </is>
      </c>
      <c r="E143" s="3" t="inlineStr">
        <is>
          <t>Microsoft.Network</t>
        </is>
      </c>
      <c r="F143" s="3" t="inlineStr">
        <is>
          <t>expressRouteCircuits</t>
        </is>
      </c>
      <c r="G143" s="3" t="inlineStr">
        <is>
          <t>Scalability</t>
        </is>
      </c>
      <c r="H143" s="3" t="inlineStr">
        <is>
          <t>Implement rate-limiting across ExpressRoute Direct Circuits to optimize network flow</t>
        </is>
      </c>
      <c r="I143" s="3" t="inlineStr">
        <is>
          <t>Medium</t>
        </is>
      </c>
      <c r="J143" s="3" t="inlineStr">
        <is>
          <t xml:space="preserve">Rate limiting controls traffic volume between on-premises networks and Azure via ExpressRoute Direct, applying to private or Microsoft peering. It distributes port bandwidth, ensures stability, and prevents congestion, with steps outlined for enabling on circuits.
</t>
        </is>
      </c>
      <c r="K143" s="3" t="str">
        <f>HYPERLINK("https://learn.microsoft.com/azure/expressroute/rate-limit","https://learn.microsoft.com/azure/expressroute/rate-limit")</f>
      </c>
      <c r="L143" s="3" t="inlineStr">
        <is>
          <t>d40c769d-2f08-4980-8d8f-a386946276e6</t>
        </is>
      </c>
    </row>
    <row r="144" s="2" customFormat="1">
      <c r="A144" s="2" t="inlineStr">
        <is>
          <t>N/A</t>
        </is>
      </c>
      <c r="B144" s="2" t="inlineStr">
        <is>
          <t>0</t>
        </is>
      </c>
      <c r="C144" s="2" t="inlineStr">
        <is>
          <t>Azure Service</t>
        </is>
      </c>
      <c r="D144" s="2" t="inlineStr">
        <is>
          <t>APRL</t>
        </is>
      </c>
      <c r="E144" s="2" t="inlineStr">
        <is>
          <t>Microsoft.DBforPostgreSQL</t>
        </is>
      </c>
      <c r="F144" s="2" t="inlineStr">
        <is>
          <t>flexibleServers</t>
        </is>
      </c>
      <c r="G144" s="2" t="inlineStr">
        <is>
          <t>Scalability</t>
        </is>
      </c>
      <c r="H144" s="2" t="inlineStr">
        <is>
          <t>Configure storage auto-grow</t>
        </is>
      </c>
      <c r="I144" s="2" t="inlineStr">
        <is>
          <t>High</t>
        </is>
      </c>
      <c r="J144" s="2" t="inlineStr">
        <is>
          <t xml:space="preserve">Configure storage auto-grow to prevent the server from running out of storage and becoming read-only.
</t>
        </is>
      </c>
      <c r="K144" s="2" t="str">
        <f>HYPERLINK("https://learn.microsoft.com/azure/postgresql/flexible-server/how-to-auto-grow-storage-portal","https://learn.microsoft.com/azure/postgresql/flexible-server/how-to-auto-grow-storage-portal")</f>
      </c>
      <c r="L144" s="2" t="inlineStr">
        <is>
          <t>6293a3cc-6b4a-4c0f-9ea7-b8ae8d7dd3d5</t>
        </is>
      </c>
    </row>
    <row r="145" s="3" customFormat="1">
      <c r="A145" s="3" t="inlineStr">
        <is>
          <t>N/A</t>
        </is>
      </c>
      <c r="B145" s="3" t="inlineStr">
        <is>
          <t>0</t>
        </is>
      </c>
      <c r="C145" s="3" t="inlineStr">
        <is>
          <t>Azure Service</t>
        </is>
      </c>
      <c r="D145" s="3" t="inlineStr">
        <is>
          <t>AZQR</t>
        </is>
      </c>
      <c r="E145" s="3" t="inlineStr">
        <is>
          <t>Microsoft.DBforPostgreSQL</t>
        </is>
      </c>
      <c r="F145" s="3" t="inlineStr">
        <is>
          <t>flexibleServers</t>
        </is>
      </c>
      <c r="G145" s="3" t="inlineStr">
        <is>
          <t>Security</t>
        </is>
      </c>
      <c r="H145" s="3" t="inlineStr">
        <is>
          <t>PostgreSQL should have private access enabled</t>
        </is>
      </c>
      <c r="I145" s="3" t="inlineStr">
        <is>
          <t>High</t>
        </is>
      </c>
      <c r="J145" s="3" t="inlineStr">
        <is>
          <t>PostgreSQL should have private access enabled</t>
        </is>
      </c>
      <c r="K145" s="3" t="str">
        <f>HYPERLINK("https://learn.microsoft.com/azure/postgresql/flexible-server/concepts-networking-private-link","https://learn.microsoft.com/azure/postgresql/flexible-server/concepts-networking-private-link")</f>
      </c>
      <c r="L145" s="3" t="inlineStr">
        <is>
          <t>psqlf-004</t>
        </is>
      </c>
    </row>
    <row r="146" s="2" customFormat="1">
      <c r="A146" s="2" t="inlineStr">
        <is>
          <t>N/A</t>
        </is>
      </c>
      <c r="B146" s="2" t="inlineStr">
        <is>
          <t>0</t>
        </is>
      </c>
      <c r="C146" s="2" t="inlineStr">
        <is>
          <t>Azure Service</t>
        </is>
      </c>
      <c r="D146" s="2" t="inlineStr">
        <is>
          <t>APRL</t>
        </is>
      </c>
      <c r="E146" s="2" t="inlineStr">
        <is>
          <t>Microsoft.DBforPostgreSQL</t>
        </is>
      </c>
      <c r="F146" s="2" t="inlineStr">
        <is>
          <t>flexibleServers</t>
        </is>
      </c>
      <c r="G146" s="2" t="inlineStr">
        <is>
          <t>HighAvailability</t>
        </is>
      </c>
      <c r="H146" s="2" t="inlineStr">
        <is>
          <t>Enable HA with zone redundancy</t>
        </is>
      </c>
      <c r="I146" s="2" t="inlineStr">
        <is>
          <t>High</t>
        </is>
      </c>
      <c r="J146" s="2" t="inlineStr">
        <is>
          <t xml:space="preserve">Enable HA with zone redundancy on flexible server instances to deploy a standby replica in a different zone, offering automatic failover capability for improved reliability and disaster recovery.
</t>
        </is>
      </c>
      <c r="K146" s="2" t="str">
        <f>HYPERLINK("https://learn.microsoft.com/azure/postgresql/flexible-server/concepts-high-availability","https://learn.microsoft.com/azure/postgresql/flexible-server/concepts-high-availability")</f>
      </c>
      <c r="L146" s="2" t="inlineStr">
        <is>
          <t>ca87914f-aac4-4783-ab67-82a6f936f194</t>
        </is>
      </c>
    </row>
    <row r="147" s="3" customFormat="1">
      <c r="A147" s="3" t="inlineStr">
        <is>
          <t>N/A</t>
        </is>
      </c>
      <c r="B147" s="3" t="inlineStr">
        <is>
          <t>0</t>
        </is>
      </c>
      <c r="C147" s="3" t="inlineStr">
        <is>
          <t>Azure Service</t>
        </is>
      </c>
      <c r="D147" s="3" t="inlineStr">
        <is>
          <t>AZQR</t>
        </is>
      </c>
      <c r="E147" s="3" t="inlineStr">
        <is>
          <t>microsoft.dbforpostgresql</t>
        </is>
      </c>
      <c r="F147" s="3" t="inlineStr">
        <is>
          <t>flexibleservers</t>
        </is>
      </c>
      <c r="G147" s="3" t="inlineStr">
        <is>
          <t>MonitoringAndAlerting</t>
        </is>
      </c>
      <c r="H147" s="3" t="inlineStr">
        <is>
          <t>PostgreSQL should have diagnostic settings enabled</t>
        </is>
      </c>
      <c r="I147" s="3" t="inlineStr">
        <is>
          <t>Low</t>
        </is>
      </c>
      <c r="J147" s="3" t="inlineStr">
        <is>
          <t/>
        </is>
      </c>
      <c r="K147" s="3" t="str">
        <f>HYPERLINK("https://learn.microsoft.com/en-us/azure/postgresql/flexible-server/howto-configure-and-access-logs","https://learn.microsoft.com/en-us/azure/postgresql/flexible-server/howto-configure-and-access-logs")</f>
      </c>
      <c r="L147" s="3" t="inlineStr">
        <is>
          <t>psqlf-001</t>
        </is>
      </c>
    </row>
    <row r="148" s="2" customFormat="1">
      <c r="A148" s="2" t="inlineStr">
        <is>
          <t>N/A</t>
        </is>
      </c>
      <c r="B148" s="2" t="inlineStr">
        <is>
          <t>0</t>
        </is>
      </c>
      <c r="C148" s="2" t="inlineStr">
        <is>
          <t>Azure Service</t>
        </is>
      </c>
      <c r="D148" s="2" t="inlineStr">
        <is>
          <t>APRL</t>
        </is>
      </c>
      <c r="E148" s="2" t="inlineStr">
        <is>
          <t>Microsoft.DBforPostgreSQL</t>
        </is>
      </c>
      <c r="F148" s="2" t="inlineStr">
        <is>
          <t>flexibleServers</t>
        </is>
      </c>
      <c r="G148" s="2" t="inlineStr">
        <is>
          <t>Scalability</t>
        </is>
      </c>
      <c r="H148" s="2" t="inlineStr">
        <is>
          <t>Enable custom maintenance schedule</t>
        </is>
      </c>
      <c r="I148" s="2" t="inlineStr">
        <is>
          <t>High</t>
        </is>
      </c>
      <c r="J148" s="2" t="inlineStr">
        <is>
          <t xml:space="preserve">Use custom maintenance schedule on flexible server instances to select a preferred time for service updates to be applied.
</t>
        </is>
      </c>
      <c r="K148" s="2" t="str">
        <f>HYPERLINK("https://learn.microsoft.com/azure/postgresql/flexible-server/concepts-maintenance","https://learn.microsoft.com/azure/postgresql/flexible-server/concepts-maintenance")</f>
      </c>
      <c r="L148" s="2" t="inlineStr">
        <is>
          <t>b2bad57d-7e03-4c0f-9024-597c9eb295bb</t>
        </is>
      </c>
    </row>
    <row r="149" s="3" customFormat="1">
      <c r="A149" s="3" t="inlineStr">
        <is>
          <t>N/A</t>
        </is>
      </c>
      <c r="B149" s="3" t="inlineStr">
        <is>
          <t>0</t>
        </is>
      </c>
      <c r="C149" s="3" t="inlineStr">
        <is>
          <t>Azure Service</t>
        </is>
      </c>
      <c r="D149" s="3" t="inlineStr">
        <is>
          <t>APRL</t>
        </is>
      </c>
      <c r="E149" s="3" t="inlineStr">
        <is>
          <t>Microsoft.DBforPostgreSQL</t>
        </is>
      </c>
      <c r="F149" s="3" t="inlineStr">
        <is>
          <t>flexibleServers</t>
        </is>
      </c>
      <c r="G149" s="3" t="inlineStr">
        <is>
          <t>DisasterRecovery</t>
        </is>
      </c>
      <c r="H149" s="3" t="inlineStr">
        <is>
          <t>Configure geo redundant backup storage</t>
        </is>
      </c>
      <c r="I149" s="3" t="inlineStr">
        <is>
          <t>High</t>
        </is>
      </c>
      <c r="J149" s="3" t="inlineStr">
        <is>
          <t xml:space="preserve">Configure GRS to ensure that your database meets its availability and durability targets even in the face of failures or disasters.
</t>
        </is>
      </c>
      <c r="K149" s="3" t="str">
        <f>HYPERLINK("https://learn.microsoft.com/azure/postgresql/flexible-server/concepts-backup-restore","https://learn.microsoft.com/azure/postgresql/flexible-server/concepts-backup-restore")</f>
      </c>
      <c r="L149" s="3" t="inlineStr">
        <is>
          <t>31f4ac4b-29cb-4588-8de2-d8fe6f13ceb3</t>
        </is>
      </c>
    </row>
    <row r="150" s="2" customFormat="1">
      <c r="A150" s="2" t="inlineStr">
        <is>
          <t>N/A</t>
        </is>
      </c>
      <c r="B150" s="2" t="inlineStr">
        <is>
          <t>0</t>
        </is>
      </c>
      <c r="C150" s="2" t="inlineStr">
        <is>
          <t>Azure Service</t>
        </is>
      </c>
      <c r="D150" s="2" t="inlineStr">
        <is>
          <t>APRL</t>
        </is>
      </c>
      <c r="E150" s="2" t="inlineStr">
        <is>
          <t>Microsoft.DBforPostgreSQL</t>
        </is>
      </c>
      <c r="F150" s="2" t="inlineStr">
        <is>
          <t>flexibleServers</t>
        </is>
      </c>
      <c r="G150" s="2" t="inlineStr">
        <is>
          <t>DisasterRecovery</t>
        </is>
      </c>
      <c r="H150" s="2" t="inlineStr">
        <is>
          <t>Configure one or more read replicas</t>
        </is>
      </c>
      <c r="I150" s="2" t="inlineStr">
        <is>
          <t>High</t>
        </is>
      </c>
      <c r="J150" s="2" t="inlineStr">
        <is>
          <t xml:space="preserve">Configure one or more read replicas to ensure that your database meets its availability and durability targets even in the face of failures or disasters.
</t>
        </is>
      </c>
      <c r="K150" s="2" t="str">
        <f>HYPERLINK("https://learn.microsoft.com/azure/postgresql/flexible-server/concepts-read-replicas","https://learn.microsoft.com/azure/postgresql/flexible-server/concepts-read-replicas")</f>
      </c>
      <c r="L150" s="2" t="inlineStr">
        <is>
          <t>2ab85a67-26be-4ed2-a0bb-101b2513ec63</t>
        </is>
      </c>
    </row>
    <row r="151" s="3" customFormat="1">
      <c r="A151" s="3" t="inlineStr">
        <is>
          <t>false</t>
        </is>
      </c>
      <c r="B151" s="3" t="inlineStr">
        <is>
          <t>22</t>
        </is>
      </c>
      <c r="C151" s="3" t="inlineStr">
        <is>
          <t>Azure Service</t>
        </is>
      </c>
      <c r="D151" s="3" t="inlineStr">
        <is>
          <t>AZQR</t>
        </is>
      </c>
      <c r="E151" s="3" t="inlineStr">
        <is>
          <t>Microsoft.Resources</t>
        </is>
      </c>
      <c r="F151" s="3" t="inlineStr">
        <is>
          <t/>
        </is>
      </c>
      <c r="G151" s="3" t="inlineStr">
        <is>
          <t>Governance</t>
        </is>
      </c>
      <c r="H151" s="3" t="inlineStr">
        <is>
          <t>Resource should have tags</t>
        </is>
      </c>
      <c r="I151" s="3" t="inlineStr">
        <is>
          <t>Low</t>
        </is>
      </c>
      <c r="J151" s="3" t="inlineStr">
        <is>
          <t xml:space="preserve">Resource should have tags applied for proper resource management, cost tracking, and organization. Tags help categorize resources and provide metadata for governance and operational purposes.
</t>
        </is>
      </c>
      <c r="K151" s="3" t="str">
        <f>HYPERLINK("https://learn.microsoft.com/en-us/azure/azure-resource-manager/management/tag-resources?tabs=json","https://learn.microsoft.com/en-us/azure/azure-resource-manager/management/tag-resources?tabs=json")</f>
      </c>
      <c r="L151" s="3" t="inlineStr">
        <is>
          <t>resources-001</t>
        </is>
      </c>
    </row>
    <row r="152" s="2" customFormat="1">
      <c r="A152" s="2" t="inlineStr">
        <is>
          <t>false</t>
        </is>
      </c>
      <c r="B152" s="2" t="inlineStr">
        <is>
          <t>14</t>
        </is>
      </c>
      <c r="C152" s="2" t="inlineStr">
        <is>
          <t>Azure Service</t>
        </is>
      </c>
      <c r="D152" s="2" t="inlineStr">
        <is>
          <t>AZQR</t>
        </is>
      </c>
      <c r="E152" s="2" t="inlineStr">
        <is>
          <t>Microsoft.Resources</t>
        </is>
      </c>
      <c r="F152" s="2" t="inlineStr">
        <is>
          <t/>
        </is>
      </c>
      <c r="G152" s="2" t="inlineStr">
        <is>
          <t>Governance</t>
        </is>
      </c>
      <c r="H152" s="2" t="inlineStr">
        <is>
          <t>Resource should comply with naming conventions</t>
        </is>
      </c>
      <c r="I152" s="2" t="inlineStr">
        <is>
          <t>Low</t>
        </is>
      </c>
      <c r="J152" s="2" t="inlineStr">
        <is>
          <t>Resource should comply with naming conventions</t>
        </is>
      </c>
      <c r="K152" s="2" t="str">
        <f>HYPERLINK("https://learn.microsoft.com/en-us/azure/cloud-adoption-framework/ready/azure-best-practices/resource-abbreviations","https://learn.microsoft.com/en-us/azure/cloud-adoption-framework/ready/azure-best-practices/resource-abbreviations")</f>
      </c>
      <c r="L152" s="2" t="inlineStr">
        <is>
          <t>resources-002</t>
        </is>
      </c>
    </row>
    <row r="153" s="3" customFormat="1">
      <c r="A153" s="3" t="inlineStr">
        <is>
          <t>N/A</t>
        </is>
      </c>
      <c r="B153" s="3" t="inlineStr">
        <is>
          <t>0</t>
        </is>
      </c>
      <c r="C153" s="3" t="inlineStr">
        <is>
          <t>Azure Service</t>
        </is>
      </c>
      <c r="D153" s="3" t="inlineStr">
        <is>
          <t>APRL</t>
        </is>
      </c>
      <c r="E153" s="3" t="inlineStr">
        <is>
          <t>Microsoft.Network</t>
        </is>
      </c>
      <c r="F153" s="3" t="inlineStr">
        <is>
          <t>virtualNetworkGateways</t>
        </is>
      </c>
      <c r="G153" s="3" t="inlineStr">
        <is>
          <t>HighAvailability</t>
        </is>
      </c>
      <c r="H153" s="3" t="inlineStr">
        <is>
          <t>Use Zone-redundant ExpressRoute gateway SKUs</t>
        </is>
      </c>
      <c r="I153" s="3" t="inlineStr">
        <is>
          <t>High</t>
        </is>
      </c>
      <c r="J153" s="3" t="inlineStr">
        <is>
          <t xml:space="preserve">Azure ExpressRoute gateway offers variable SLAs based on deployment in single or multiple availability zones. To deploy virtual network gateways across zones automatically, use zone-redundant gateways for accessing critical, scalable services with increased resilience.
</t>
        </is>
      </c>
      <c r="K153" s="3" t="str">
        <f>HYPERLINK("https://learn.microsoft.com/azure/expressroute/expressroute-about-virtual-network-gateways#zrgw","https://learn.microsoft.com/azure/expressroute/expressroute-about-virtual-network-gateways#zrgw")</f>
      </c>
      <c r="L153" s="3" t="inlineStr">
        <is>
          <t>bbe668b7-eb5c-c746-8b82-70afdedf0cae</t>
        </is>
      </c>
    </row>
    <row r="154" s="2" customFormat="1">
      <c r="A154" s="2" t="inlineStr">
        <is>
          <t>N/A</t>
        </is>
      </c>
      <c r="B154" s="2" t="inlineStr">
        <is>
          <t>0</t>
        </is>
      </c>
      <c r="C154" s="2" t="inlineStr">
        <is>
          <t>Azure Service</t>
        </is>
      </c>
      <c r="D154" s="2" t="inlineStr">
        <is>
          <t>AZQR</t>
        </is>
      </c>
      <c r="E154" s="2" t="inlineStr">
        <is>
          <t>Microsoft.Network</t>
        </is>
      </c>
      <c r="F154" s="2" t="inlineStr">
        <is>
          <t>virtualNetworkGateways</t>
        </is>
      </c>
      <c r="G154" s="2" t="inlineStr">
        <is>
          <t>HighAvailability</t>
        </is>
      </c>
      <c r="H154" s="2" t="inlineStr">
        <is>
          <t>Virtual Network Gateway should have availability zones enabled</t>
        </is>
      </c>
      <c r="I154" s="2" t="inlineStr">
        <is>
          <t>High</t>
        </is>
      </c>
      <c r="J154" s="2" t="inlineStr">
        <is>
          <t>Virtual Network Gateway should use zone-redundant SKUs (SKUs ending with "AZ") to provide high availability across availability zones.</t>
        </is>
      </c>
      <c r="K154" s="2" t="str">
        <f>HYPERLINK("https://learn.microsoft.com/en-us/azure/vpn-gateway/create-zone-redundant-vnet-gateway","https://learn.microsoft.com/en-us/azure/vpn-gateway/create-zone-redundant-vnet-gateway")</f>
      </c>
      <c r="L154" s="2" t="inlineStr">
        <is>
          <t>vgw-005</t>
        </is>
      </c>
    </row>
    <row r="155" s="3" customFormat="1">
      <c r="A155" s="3" t="inlineStr">
        <is>
          <t>N/A</t>
        </is>
      </c>
      <c r="B155" s="3" t="inlineStr">
        <is>
          <t>0</t>
        </is>
      </c>
      <c r="C155" s="3" t="inlineStr">
        <is>
          <t>Azure Service</t>
        </is>
      </c>
      <c r="D155" s="3" t="inlineStr">
        <is>
          <t>APRL</t>
        </is>
      </c>
      <c r="E155" s="3" t="inlineStr">
        <is>
          <t>Microsoft.Network</t>
        </is>
      </c>
      <c r="F155" s="3" t="inlineStr">
        <is>
          <t>virtualNetworkGateways</t>
        </is>
      </c>
      <c r="G155" s="3" t="inlineStr">
        <is>
          <t>HighAvailability</t>
        </is>
      </c>
      <c r="H155" s="3" t="inlineStr">
        <is>
          <t>Configure customer-controlled ExpressRoute gateway maintenance</t>
        </is>
      </c>
      <c r="I155" s="3" t="inlineStr">
        <is>
          <t>Medium</t>
        </is>
      </c>
      <c r="J155" s="3" t="inlineStr">
        <is>
          <t xml:space="preserve">ExpressRoute gateways are updated for improved functionality, reliability, performance, and security. Customer-controlled maintenance configuration and scheduling minimize update impact and align with your maintenance windows.
</t>
        </is>
      </c>
      <c r="K155" s="3" t="str">
        <f>HYPERLINK("https://learn.microsoft.com/azure/expressroute/customer-controlled-gateway-maintenance#azure-portal-steps","https://learn.microsoft.com/azure/expressroute/customer-controlled-gateway-maintenance#azure-portal-steps")</f>
      </c>
      <c r="L155" s="3" t="inlineStr">
        <is>
          <t>3e115044-a3aa-433e-be01-ce17d67e50da</t>
        </is>
      </c>
    </row>
    <row r="156" s="2" customFormat="1">
      <c r="A156" s="2" t="inlineStr">
        <is>
          <t>N/A</t>
        </is>
      </c>
      <c r="B156" s="2" t="inlineStr">
        <is>
          <t>0</t>
        </is>
      </c>
      <c r="C156" s="2" t="inlineStr">
        <is>
          <t>Azure Service</t>
        </is>
      </c>
      <c r="D156" s="2" t="inlineStr">
        <is>
          <t>APRL</t>
        </is>
      </c>
      <c r="E156" s="2" t="inlineStr">
        <is>
          <t>Microsoft.Network</t>
        </is>
      </c>
      <c r="F156" s="2" t="inlineStr">
        <is>
          <t>virtualNetworkGateways</t>
        </is>
      </c>
      <c r="G156" s="2" t="inlineStr">
        <is>
          <t>HighAvailability</t>
        </is>
      </c>
      <c r="H156" s="2" t="inlineStr">
        <is>
          <t>Enable Active-Active VPN Gateways for redundancy</t>
        </is>
      </c>
      <c r="I156" s="2" t="inlineStr">
        <is>
          <t>Medium</t>
        </is>
      </c>
      <c r="J156" s="2" t="inlineStr">
        <is>
          <t xml:space="preserve">The active-active mode is available for all SKUs except Basic, allowing for two Gateway IP configurations and two public IP addresses, enhancing redundancy and traffic handling. Mission Critical workloads should use dual ExpressRoutes instead of VPN.
</t>
        </is>
      </c>
      <c r="K156" s="2" t="str">
        <f>HYPERLINK("https://learn.microsoft.com/azure/vpn-gateway/active-active-portal#gateway","https://learn.microsoft.com/azure/vpn-gateway/active-active-portal#gateway")</f>
      </c>
      <c r="L156" s="2" t="inlineStr">
        <is>
          <t>281a2713-c0e0-3c48-b596-19f590c46671</t>
        </is>
      </c>
    </row>
    <row r="157" s="3" customFormat="1">
      <c r="A157" s="3" t="inlineStr">
        <is>
          <t>N/A</t>
        </is>
      </c>
      <c r="B157" s="3" t="inlineStr">
        <is>
          <t>0</t>
        </is>
      </c>
      <c r="C157" s="3" t="inlineStr">
        <is>
          <t>Azure Service</t>
        </is>
      </c>
      <c r="D157" s="3" t="inlineStr">
        <is>
          <t>AOR</t>
        </is>
      </c>
      <c r="E157" s="3" t="inlineStr">
        <is>
          <t>Microsoft.Network</t>
        </is>
      </c>
      <c r="F157" s="3" t="inlineStr">
        <is>
          <t>virtualNetworkGateways</t>
        </is>
      </c>
      <c r="G157" s="3" t="inlineStr">
        <is>
          <t>Governance</t>
        </is>
      </c>
      <c r="H157" s="3" t="inlineStr">
        <is>
          <t>Virtual Network Gateways without Point-to-site configuration or Connections</t>
        </is>
      </c>
      <c r="I157" s="3" t="inlineStr">
        <is>
          <t>Medium</t>
        </is>
      </c>
      <c r="J157" s="3" t="inlineStr">
        <is>
          <t xml:space="preserve">Virtual Network Gateways without Point-to-site configuration or Connections.
</t>
        </is>
      </c>
      <c r="K157" s="3" t="str">
        <f>HYPERLINK("https://learn.microsoft.com/en-us/azure/vpn-gateway/vpn-gateway-about-vpngateways","https://learn.microsoft.com/en-us/azure/vpn-gateway/vpn-gateway-about-vpngateways")</f>
      </c>
      <c r="L157" s="3" t="inlineStr">
        <is>
          <t>9a0b1c2d-3e4f-5a6b-7c8d-9e0f1a2b3c4d</t>
        </is>
      </c>
    </row>
    <row r="158" s="2" customFormat="1">
      <c r="A158" s="2" t="inlineStr">
        <is>
          <t>N/A</t>
        </is>
      </c>
      <c r="B158" s="2" t="inlineStr">
        <is>
          <t>0</t>
        </is>
      </c>
      <c r="C158" s="2" t="inlineStr">
        <is>
          <t>Azure Service</t>
        </is>
      </c>
      <c r="D158" s="2" t="inlineStr">
        <is>
          <t>APRL</t>
        </is>
      </c>
      <c r="E158" s="2" t="inlineStr">
        <is>
          <t>Microsoft.Network</t>
        </is>
      </c>
      <c r="F158" s="2" t="inlineStr">
        <is>
          <t>virtualNetworkGateways</t>
        </is>
      </c>
      <c r="G158" s="2" t="inlineStr">
        <is>
          <t>HighAvailability</t>
        </is>
      </c>
      <c r="H158" s="2" t="inlineStr">
        <is>
          <t>Connect ExpressRoute gateway with circuits from diverse peering locations</t>
        </is>
      </c>
      <c r="I158" s="2" t="inlineStr">
        <is>
          <t>High</t>
        </is>
      </c>
      <c r="J158" s="2" t="inlineStr">
        <is>
          <t xml:space="preserve">For improved reliability, each ExpressRoute gateway should connect to at least two circuits, with each circuit sourced from a different peering location. This setup ensures diverse connectivity paths, enhancing resilience and minimizing service disruption risks.
</t>
        </is>
      </c>
      <c r="K158" s="2" t="str">
        <f>HYPERLINK("https://learn.microsoft.com/azure/expressroute/designing-for-disaster-recovery-with-expressroute-privatepeering","https://learn.microsoft.com/azure/expressroute/designing-for-disaster-recovery-with-expressroute-privatepeering")</f>
      </c>
      <c r="L158" s="2" t="inlineStr">
        <is>
          <t>d37db635-157f-584d-9bce-4f6fc8c65ce5</t>
        </is>
      </c>
    </row>
    <row r="159" s="3" customFormat="1">
      <c r="A159" s="3" t="inlineStr">
        <is>
          <t>N/A</t>
        </is>
      </c>
      <c r="B159" s="3" t="inlineStr">
        <is>
          <t>0</t>
        </is>
      </c>
      <c r="C159" s="3" t="inlineStr">
        <is>
          <t>Azure Service</t>
        </is>
      </c>
      <c r="D159" s="3" t="inlineStr">
        <is>
          <t>APRL</t>
        </is>
      </c>
      <c r="E159" s="3" t="inlineStr">
        <is>
          <t>Microsoft.Network</t>
        </is>
      </c>
      <c r="F159" s="3" t="inlineStr">
        <is>
          <t>virtualNetworkGateways</t>
        </is>
      </c>
      <c r="G159" s="3" t="inlineStr">
        <is>
          <t>HighAvailability</t>
        </is>
      </c>
      <c r="H159" s="3" t="inlineStr">
        <is>
          <t>Choose a Zone-redundant VPN gateway</t>
        </is>
      </c>
      <c r="I159" s="3" t="inlineStr">
        <is>
          <t>High</t>
        </is>
      </c>
      <c r="J159" s="3" t="inlineStr">
        <is>
          <t xml:space="preserve">Deploying zone-redundant virtual network gateways across availability zones ensures zone-resiliency, improving access to mission-critical, scalable services on Azure. Mission Critical workloads should use dual ExpressRoutes instead of VPN.
</t>
        </is>
      </c>
      <c r="K159" s="3" t="str">
        <f>HYPERLINK("https://learn.microsoft.com/azure/vpn-gateway/about-zone-redundant-vnet-gateways","https://learn.microsoft.com/azure/vpn-gateway/about-zone-redundant-vnet-gateways")</f>
      </c>
      <c r="L159" s="3" t="inlineStr">
        <is>
          <t>5b1933a6-90e4-f642-a01f-e58594e5aab2</t>
        </is>
      </c>
    </row>
    <row r="160" s="2" customFormat="1">
      <c r="A160" s="2" t="inlineStr">
        <is>
          <t>N/A</t>
        </is>
      </c>
      <c r="B160" s="2" t="inlineStr">
        <is>
          <t>0</t>
        </is>
      </c>
      <c r="C160" s="2" t="inlineStr">
        <is>
          <t>Azure Service</t>
        </is>
      </c>
      <c r="D160" s="2" t="inlineStr">
        <is>
          <t>APRL</t>
        </is>
      </c>
      <c r="E160" s="2" t="inlineStr">
        <is>
          <t>Microsoft.Network</t>
        </is>
      </c>
      <c r="F160" s="2" t="inlineStr">
        <is>
          <t>virtualNetworkGateways</t>
        </is>
      </c>
      <c r="G160" s="2" t="inlineStr">
        <is>
          <t>HighAvailability</t>
        </is>
      </c>
      <c r="H160" s="2" t="inlineStr">
        <is>
          <t>Configure customer-controlled VPN gateway maintenance</t>
        </is>
      </c>
      <c r="I160" s="2" t="inlineStr">
        <is>
          <t>Medium</t>
        </is>
      </c>
      <c r="J160" s="2" t="inlineStr">
        <is>
          <t xml:space="preserve">VPN gateways are updated for improved functionality, reliability, performance, and security. Customer-controlled maintenance configuration and scheduling minimize update impact and align with your maintenance windows.
</t>
        </is>
      </c>
      <c r="K160" s="2" t="str">
        <f>HYPERLINK("https://learn.microsoft.com/azure/vpn-gateway/customer-controlled-gateway-maintenance","https://learn.microsoft.com/azure/vpn-gateway/customer-controlled-gateway-maintenance")</f>
      </c>
      <c r="L160" s="2" t="inlineStr">
        <is>
          <t>f8c2e6d9-4b3a-45d6-b9e2-8e7f3a1c2d04</t>
        </is>
      </c>
    </row>
    <row r="161" s="3" customFormat="1">
      <c r="A161" s="3" t="inlineStr">
        <is>
          <t>N/A</t>
        </is>
      </c>
      <c r="B161" s="3" t="inlineStr">
        <is>
          <t>0</t>
        </is>
      </c>
      <c r="C161" s="3" t="inlineStr">
        <is>
          <t>Azure Service</t>
        </is>
      </c>
      <c r="D161" s="3" t="inlineStr">
        <is>
          <t>APRL</t>
        </is>
      </c>
      <c r="E161" s="3" t="inlineStr">
        <is>
          <t>Microsoft.Network</t>
        </is>
      </c>
      <c r="F161" s="3" t="inlineStr">
        <is>
          <t>virtualNetworkGateways</t>
        </is>
      </c>
      <c r="G161" s="3" t="inlineStr">
        <is>
          <t>HighAvailability</t>
        </is>
      </c>
      <c r="H161" s="3" t="inlineStr">
        <is>
          <t>Deploy VPN gateways with zone-redundant Public IPs</t>
        </is>
      </c>
      <c r="I161" s="3" t="inlineStr">
        <is>
          <t>High</t>
        </is>
      </c>
      <c r="J161" s="3" t="inlineStr">
        <is>
          <t xml:space="preserve">For zone-redundant VPN gateways, always use zone-redundant Standard SKU public IPs to avoid deploying all instances in one zone. This ensures the gateway's reliability. Mission Critical workloads should use dual ExpressRoutes instead of VPN.
</t>
        </is>
      </c>
      <c r="K161" s="3" t="str">
        <f>HYPERLINK("https://learn.microsoft.com/azure/vpn-gateway/about-zone-redundant-vnet-gateways","https://learn.microsoft.com/azure/vpn-gateway/about-zone-redundant-vnet-gateways")</f>
      </c>
      <c r="L161" s="3" t="inlineStr">
        <is>
          <t>4bae5a28-5cf4-40d9-bcf1-623d28f6d917</t>
        </is>
      </c>
    </row>
    <row r="162" s="2" customFormat="1">
      <c r="A162" s="2" t="inlineStr">
        <is>
          <t>N/A</t>
        </is>
      </c>
      <c r="B162" s="2" t="inlineStr">
        <is>
          <t>0</t>
        </is>
      </c>
      <c r="C162" s="2" t="inlineStr">
        <is>
          <t>Azure Service</t>
        </is>
      </c>
      <c r="D162" s="2" t="inlineStr">
        <is>
          <t>AZQR</t>
        </is>
      </c>
      <c r="E162" s="2" t="inlineStr">
        <is>
          <t>microsoft.network</t>
        </is>
      </c>
      <c r="F162" s="2" t="inlineStr">
        <is>
          <t>virtualnetworkgateways</t>
        </is>
      </c>
      <c r="G162" s="2" t="inlineStr">
        <is>
          <t>MonitoringAndAlerting</t>
        </is>
      </c>
      <c r="H162" s="2" t="inlineStr">
        <is>
          <t>Virtual Network Gateway should have diagnostic settings enabled</t>
        </is>
      </c>
      <c r="I162" s="2" t="inlineStr">
        <is>
          <t>Low</t>
        </is>
      </c>
      <c r="J162" s="2" t="inlineStr">
        <is>
          <t/>
        </is>
      </c>
      <c r="K162" s="2" t="str">
        <f>HYPERLINK("https://learn.microsoft.com/en-us/azure/vpn-gateway/monitor-vpn-gateway","https://learn.microsoft.com/en-us/azure/vpn-gateway/monitor-vpn-gateway")</f>
      </c>
      <c r="L162" s="2" t="inlineStr">
        <is>
          <t>vgw-001</t>
        </is>
      </c>
    </row>
    <row r="163" s="3" customFormat="1">
      <c r="A163" s="3" t="inlineStr">
        <is>
          <t>N/A</t>
        </is>
      </c>
      <c r="B163" s="3" t="inlineStr">
        <is>
          <t>0</t>
        </is>
      </c>
      <c r="C163" s="3" t="inlineStr">
        <is>
          <t>Azure Service</t>
        </is>
      </c>
      <c r="D163" s="3" t="inlineStr">
        <is>
          <t>APRL</t>
        </is>
      </c>
      <c r="E163" s="3" t="inlineStr">
        <is>
          <t>Microsoft.Network</t>
        </is>
      </c>
      <c r="F163" s="3" t="inlineStr">
        <is>
          <t>azureFirewalls</t>
        </is>
      </c>
      <c r="G163" s="3" t="inlineStr">
        <is>
          <t>HighAvailability</t>
        </is>
      </c>
      <c r="H163" s="3" t="inlineStr">
        <is>
          <t>Deploy Azure Firewall across multiple availability zones</t>
        </is>
      </c>
      <c r="I163" s="3" t="inlineStr">
        <is>
          <t>High</t>
        </is>
      </c>
      <c r="J163" s="3" t="inlineStr">
        <is>
          <t xml:space="preserve">Azure Firewall offers different SLAs depending on its deployment; in a single availability zone or across multiple, potentially improving reliability and performance.
</t>
        </is>
      </c>
      <c r="K163" s="3" t="str">
        <f>HYPERLINK("https://learn.microsoft.com/azure/architecture/framework/services/networking/azure-firewall","https://learn.microsoft.com/azure/architecture/framework/services/networking/azure-firewall")</f>
      </c>
      <c r="L163" s="3" t="inlineStr">
        <is>
          <t>c72b7fee-1fa0-5b4b-98e5-54bcae95bb74</t>
        </is>
      </c>
    </row>
    <row r="164" s="2" customFormat="1">
      <c r="A164" s="2" t="inlineStr">
        <is>
          <t>N/A</t>
        </is>
      </c>
      <c r="B164" s="2" t="inlineStr">
        <is>
          <t>0</t>
        </is>
      </c>
      <c r="C164" s="2" t="inlineStr">
        <is>
          <t>Azure Service</t>
        </is>
      </c>
      <c r="D164" s="2" t="inlineStr">
        <is>
          <t>AZQR</t>
        </is>
      </c>
      <c r="E164" s="2" t="inlineStr">
        <is>
          <t>microsoft.network</t>
        </is>
      </c>
      <c r="F164" s="2" t="inlineStr">
        <is>
          <t>azurefirewalls</t>
        </is>
      </c>
      <c r="G164" s="2" t="inlineStr">
        <is>
          <t>MonitoringAndAlerting</t>
        </is>
      </c>
      <c r="H164" s="2" t="inlineStr">
        <is>
          <t>Azure Firewall should have diagnostic settings enabled</t>
        </is>
      </c>
      <c r="I164" s="2" t="inlineStr">
        <is>
          <t>Low</t>
        </is>
      </c>
      <c r="J164" s="2" t="inlineStr">
        <is>
          <t/>
        </is>
      </c>
      <c r="K164" s="2" t="str">
        <f>HYPERLINK("https://docs.microsoft.com/en-us/azure/firewall/logs-and-metrics","https://docs.microsoft.com/en-us/azure/firewall/logs-and-metrics")</f>
      </c>
      <c r="L164" s="2" t="inlineStr">
        <is>
          <t>afw-001</t>
        </is>
      </c>
    </row>
    <row r="165" s="3" customFormat="1">
      <c r="A165" s="3" t="inlineStr">
        <is>
          <t>N/A</t>
        </is>
      </c>
      <c r="B165" s="3" t="inlineStr">
        <is>
          <t>0</t>
        </is>
      </c>
      <c r="C165" s="3" t="inlineStr">
        <is>
          <t>Azure Service</t>
        </is>
      </c>
      <c r="D165" s="3" t="inlineStr">
        <is>
          <t>APRL</t>
        </is>
      </c>
      <c r="E165" s="3" t="inlineStr">
        <is>
          <t>Microsoft.Network</t>
        </is>
      </c>
      <c r="F165" s="3" t="inlineStr">
        <is>
          <t>azureFirewalls</t>
        </is>
      </c>
      <c r="G165" s="3" t="inlineStr">
        <is>
          <t>MonitoringAndAlerting</t>
        </is>
      </c>
      <c r="H165" s="3" t="inlineStr">
        <is>
          <t>Monitor Azure Firewall metrics</t>
        </is>
      </c>
      <c r="I165" s="3" t="inlineStr">
        <is>
          <t>High</t>
        </is>
      </c>
      <c r="J165" s="3" t="inlineStr">
        <is>
          <t xml:space="preserve">Monitor Azure Firewall for overall health, processed throughput, and outbound SNAT port usage. Get alerted before limits impact services. Consider NAT gateway integration with zonal deployments; note limitations with zone redundant firewalls and secure virtual hub networks.
</t>
        </is>
      </c>
      <c r="K165" s="3" t="str">
        <f>HYPERLINK("https://learn.microsoft.com/azure/azure-monitor/essentials/metrics-supported#microsoftnetworkazurefirewalls","https://learn.microsoft.com/azure/azure-monitor/essentials/metrics-supported#microsoftnetworkazurefirewalls")</f>
      </c>
      <c r="L165" s="3" t="inlineStr">
        <is>
          <t>3c8fa7c6-6b78-a24a-a63f-348a7c71acb9</t>
        </is>
      </c>
    </row>
    <row r="166" s="2" customFormat="1">
      <c r="A166" s="2" t="inlineStr">
        <is>
          <t>true</t>
        </is>
      </c>
      <c r="B166" s="2" t="inlineStr">
        <is>
          <t>0</t>
        </is>
      </c>
      <c r="C166" s="2" t="inlineStr">
        <is>
          <t>Azure Service</t>
        </is>
      </c>
      <c r="D166" s="2" t="inlineStr">
        <is>
          <t>APRL</t>
        </is>
      </c>
      <c r="E166" s="2" t="inlineStr">
        <is>
          <t>Microsoft.Insights</t>
        </is>
      </c>
      <c r="F166" s="2" t="inlineStr">
        <is>
          <t>components</t>
        </is>
      </c>
      <c r="G166" s="2" t="inlineStr">
        <is>
          <t>ServiceUpgradeAndRetirement</t>
        </is>
      </c>
      <c r="H166" s="2" t="inlineStr">
        <is>
          <t>Convert Classic Deployments</t>
        </is>
      </c>
      <c r="I166" s="2" t="inlineStr">
        <is>
          <t>Medium</t>
        </is>
      </c>
      <c r="J166" s="2" t="inlineStr">
        <is>
          <t xml:space="preserve">Classic Application Insights retires in February 2024. To minimize disruption to existing application monitoring scenarios, transition to workspace-based Application Insights before 29 February 2024.
</t>
        </is>
      </c>
      <c r="K166" s="2" t="str">
        <f>HYPERLINK("https://learn.microsoft.com/azure/azure-monitor/app/convert-classic-resource","https://learn.microsoft.com/azure/azure-monitor/app/convert-classic-resource")</f>
      </c>
      <c r="L166" s="2" t="inlineStr">
        <is>
          <t>dac421ec-2832-4c37-839e-b6dc5a38f2fa</t>
        </is>
      </c>
    </row>
    <row r="167" s="3" customFormat="1">
      <c r="A167" s="3" t="inlineStr">
        <is>
          <t>true</t>
        </is>
      </c>
      <c r="B167" s="3" t="inlineStr">
        <is>
          <t>0</t>
        </is>
      </c>
      <c r="C167" s="3" t="inlineStr">
        <is>
          <t>Azure Service</t>
        </is>
      </c>
      <c r="D167" s="3" t="inlineStr">
        <is>
          <t>APRL</t>
        </is>
      </c>
      <c r="E167" s="3" t="inlineStr">
        <is>
          <t>Microsoft.Web</t>
        </is>
      </c>
      <c r="F167" s="3" t="inlineStr">
        <is>
          <t>serverFarms</t>
        </is>
      </c>
      <c r="G167" s="3" t="inlineStr">
        <is>
          <t>HighAvailability</t>
        </is>
      </c>
      <c r="H167" s="3" t="inlineStr">
        <is>
          <t>Migrate App Service to availability Zone Support</t>
        </is>
      </c>
      <c r="I167" s="3" t="inlineStr">
        <is>
          <t>High</t>
        </is>
      </c>
      <c r="J167" s="3" t="inlineStr">
        <is>
          <t xml:space="preserve">Azure's feature of deploying App Service plans across availability zones enhances resiliency and reliability by ensuring operation during datacenter failures, providing redundancy without needing different regions, thus minimizing downtime and maintaining uninterrupted services.
</t>
        </is>
      </c>
      <c r="K167" s="3" t="str">
        <f>HYPERLINK("https://learn.microsoft.com/azure/reliability/migrate-app-service","https://learn.microsoft.com/azure/reliability/migrate-app-service")</f>
      </c>
      <c r="L167" s="3" t="inlineStr">
        <is>
          <t>88cb90c2-3b99-814b-9820-821a63f600dd</t>
        </is>
      </c>
    </row>
    <row r="168" s="2" customFormat="1">
      <c r="A168" s="2" t="inlineStr">
        <is>
          <t>true</t>
        </is>
      </c>
      <c r="B168" s="2" t="inlineStr">
        <is>
          <t>0</t>
        </is>
      </c>
      <c r="C168" s="2" t="inlineStr">
        <is>
          <t>Azure Service</t>
        </is>
      </c>
      <c r="D168" s="2" t="inlineStr">
        <is>
          <t>APRL</t>
        </is>
      </c>
      <c r="E168" s="2" t="inlineStr">
        <is>
          <t>Microsoft.Web</t>
        </is>
      </c>
      <c r="F168" s="2" t="inlineStr">
        <is>
          <t>serverFarms</t>
        </is>
      </c>
      <c r="G168" s="2" t="inlineStr">
        <is>
          <t>HighAvailability</t>
        </is>
      </c>
      <c r="H168" s="2" t="inlineStr">
        <is>
          <t>Use Standard or Premium tier</t>
        </is>
      </c>
      <c r="I168" s="2" t="inlineStr">
        <is>
          <t>High</t>
        </is>
      </c>
      <c r="J168" s="2" t="inlineStr">
        <is>
          <t xml:space="preserve">Choose Standard/Premium Azure App Service Plan for robust apps with advanced scaling, high availability, better performance, and multiple slots, ensuring resilience and continuous operation.
</t>
        </is>
      </c>
      <c r="K168" s="2" t="str">
        <f>HYPERLINK("https://learn.microsoft.com/azure/architecture/checklist/resiliency-per-service#app-service","https://learn.microsoft.com/azure/architecture/checklist/resiliency-per-service#app-service")</f>
      </c>
      <c r="L168" s="2" t="inlineStr">
        <is>
          <t>b2113023-a553-2e41-9789-597e2fb54c31</t>
        </is>
      </c>
    </row>
    <row r="169" s="3" customFormat="1">
      <c r="A169" s="3" t="inlineStr">
        <is>
          <t>true</t>
        </is>
      </c>
      <c r="B169" s="3" t="inlineStr">
        <is>
          <t>0</t>
        </is>
      </c>
      <c r="C169" s="3" t="inlineStr">
        <is>
          <t>Azure Service</t>
        </is>
      </c>
      <c r="D169" s="3" t="inlineStr">
        <is>
          <t>AOR</t>
        </is>
      </c>
      <c r="E169" s="3" t="inlineStr">
        <is>
          <t>Microsoft.Web</t>
        </is>
      </c>
      <c r="F169" s="3" t="inlineStr">
        <is>
          <t>serverFarms</t>
        </is>
      </c>
      <c r="G169" s="3" t="inlineStr">
        <is>
          <t>Governance</t>
        </is>
      </c>
      <c r="H169" s="3" t="inlineStr">
        <is>
          <t>App Service plans without hosting Apps</t>
        </is>
      </c>
      <c r="I169" s="3" t="inlineStr">
        <is>
          <t>Medium</t>
        </is>
      </c>
      <c r="J169" s="3" t="inlineStr">
        <is>
          <t xml:space="preserve">App Service plans without hosting Apps.
</t>
        </is>
      </c>
      <c r="K169" s="3" t="str">
        <f>HYPERLINK("https://learn.microsoft.com/en-us/azure/app-service/overview-hosting-plans","https://learn.microsoft.com/en-us/azure/app-service/overview-hosting-plans")</f>
      </c>
      <c r="L169" s="3" t="inlineStr">
        <is>
          <t>1a2b3c4d-5e6f-7a8b-9c0d-1e2f3a4b5c6d</t>
        </is>
      </c>
    </row>
    <row r="170" s="2" customFormat="1">
      <c r="A170" s="2" t="inlineStr">
        <is>
          <t>false</t>
        </is>
      </c>
      <c r="B170" s="2" t="inlineStr">
        <is>
          <t>1</t>
        </is>
      </c>
      <c r="C170" s="2" t="inlineStr">
        <is>
          <t>Azure Service</t>
        </is>
      </c>
      <c r="D170" s="2" t="inlineStr">
        <is>
          <t>APRL</t>
        </is>
      </c>
      <c r="E170" s="2" t="inlineStr">
        <is>
          <t>Microsoft.Web</t>
        </is>
      </c>
      <c r="F170" s="2" t="inlineStr">
        <is>
          <t>serverFarms</t>
        </is>
      </c>
      <c r="G170" s="2" t="inlineStr">
        <is>
          <t>Scalability</t>
        </is>
      </c>
      <c r="H170" s="2" t="inlineStr">
        <is>
          <t>Set minimum instance count to 2 for app service</t>
        </is>
      </c>
      <c r="I170" s="2" t="inlineStr">
        <is>
          <t>High</t>
        </is>
      </c>
      <c r="J170" s="2" t="inlineStr">
        <is>
          <t xml:space="preserve">App Service should be configured with a minimum of two instances for production workloads. If apps have a longer warmup time a minimum of three instances should be used.
</t>
        </is>
      </c>
      <c r="K170" s="2" t="str">
        <f>HYPERLINK("https://azure.github.io/AppService/2020/05/15/Robust-Apps-for-the-cloud.html","https://azure.github.io/AppService/2020/05/15/Robust-Apps-for-the-cloud.html")</f>
      </c>
      <c r="L170" s="2" t="inlineStr">
        <is>
          <t>855ca19a-6518-4f2e-9e5a-01796fbca9f8</t>
        </is>
      </c>
    </row>
    <row r="171" s="3" customFormat="1">
      <c r="A171" s="3" t="inlineStr">
        <is>
          <t>true</t>
        </is>
      </c>
      <c r="B171" s="3" t="inlineStr">
        <is>
          <t>0</t>
        </is>
      </c>
      <c r="C171" s="3" t="inlineStr">
        <is>
          <t>Azure Service</t>
        </is>
      </c>
      <c r="D171" s="3" t="inlineStr">
        <is>
          <t>AZQR</t>
        </is>
      </c>
      <c r="E171" s="3" t="inlineStr">
        <is>
          <t>microsoft.web</t>
        </is>
      </c>
      <c r="F171" s="3" t="inlineStr">
        <is>
          <t>serverfarms</t>
        </is>
      </c>
      <c r="G171" s="3" t="inlineStr">
        <is>
          <t>MonitoringAndAlerting</t>
        </is>
      </c>
      <c r="H171" s="3" t="inlineStr">
        <is>
          <t>Plan should have diagnostic settings enabled</t>
        </is>
      </c>
      <c r="I171" s="3" t="inlineStr">
        <is>
          <t>Low</t>
        </is>
      </c>
      <c r="J171" s="3" t="inlineStr">
        <is>
          <t/>
        </is>
      </c>
      <c r="K171" s="3" t="inlineStr">
        <is>
          <t/>
        </is>
      </c>
      <c r="L171" s="3" t="inlineStr">
        <is>
          <t>asp-001</t>
        </is>
      </c>
    </row>
    <row r="172" s="2" customFormat="1">
      <c r="A172" s="2" t="inlineStr">
        <is>
          <t>N/A</t>
        </is>
      </c>
      <c r="B172" s="2" t="inlineStr">
        <is>
          <t>0</t>
        </is>
      </c>
      <c r="C172" s="2" t="inlineStr">
        <is>
          <t>Azure Service</t>
        </is>
      </c>
      <c r="D172" s="2" t="inlineStr">
        <is>
          <t>AOR</t>
        </is>
      </c>
      <c r="E172" s="2" t="inlineStr">
        <is>
          <t>Microsoft.Compute</t>
        </is>
      </c>
      <c r="F172" s="2" t="inlineStr">
        <is>
          <t>disks</t>
        </is>
      </c>
      <c r="G172" s="2" t="inlineStr">
        <is>
          <t>Governance</t>
        </is>
      </c>
      <c r="H172" s="2" t="inlineStr">
        <is>
          <t>Managed Disks with 'Unattached' state</t>
        </is>
      </c>
      <c r="I172" s="2" t="inlineStr">
        <is>
          <t>Medium</t>
        </is>
      </c>
      <c r="J172" s="2" t="inlineStr">
        <is>
          <t xml:space="preserve">Managed Disks with 'Unattached' state.
</t>
        </is>
      </c>
      <c r="K172" s="2" t="str">
        <f>HYPERLINK("https://learn.microsoft.com/en-us/azure/virtual-machines/managed-disks-overview","https://learn.microsoft.com/en-us/azure/virtual-machines/managed-disks-overview")</f>
      </c>
      <c r="L172" s="2" t="inlineStr">
        <is>
          <t>3c4d5e6f-7a8b-9c0d-1e2f-3a4b5c6d7e8f</t>
        </is>
      </c>
    </row>
    <row r="173" s="3" customFormat="1">
      <c r="A173" s="3" t="inlineStr">
        <is>
          <t>N/A</t>
        </is>
      </c>
      <c r="B173" s="3" t="inlineStr">
        <is>
          <t>0</t>
        </is>
      </c>
      <c r="C173" s="3" t="inlineStr">
        <is>
          <t>Azure Service</t>
        </is>
      </c>
      <c r="D173" s="3" t="inlineStr">
        <is>
          <t>APRL</t>
        </is>
      </c>
      <c r="E173" s="3" t="inlineStr">
        <is>
          <t>Microsoft.Compute</t>
        </is>
      </c>
      <c r="F173" s="3" t="inlineStr">
        <is>
          <t>disks</t>
        </is>
      </c>
      <c r="G173" s="3" t="inlineStr">
        <is>
          <t>OtherBestPractices</t>
        </is>
      </c>
      <c r="H173" s="3" t="inlineStr">
        <is>
          <t>Shared disks should only be enabled in clustered servers</t>
        </is>
      </c>
      <c r="I173" s="3" t="inlineStr">
        <is>
          <t>Medium</t>
        </is>
      </c>
      <c r="J173" s="3" t="inlineStr">
        <is>
          <t xml:space="preserve">Azure shared disks let you attach a disk to multiple VMs at once for deploying or migrating clustered applications, suitable only when a disk is shared among VM cluster members.
</t>
        </is>
      </c>
      <c r="K173" s="3" t="str">
        <f>HYPERLINK("https://learn.microsoft.com/azure/virtual-machines/disks-shared","https://learn.microsoft.com/azure/virtual-machines/disks-shared")</f>
      </c>
      <c r="L173" s="3" t="inlineStr">
        <is>
          <t>3263a64a-c256-de48-9818-afd3cbc55c2a</t>
        </is>
      </c>
    </row>
    <row r="174" s="2" customFormat="1">
      <c r="A174" s="2" t="inlineStr">
        <is>
          <t>N/A</t>
        </is>
      </c>
      <c r="B174" s="2" t="inlineStr">
        <is>
          <t>0</t>
        </is>
      </c>
      <c r="C174" s="2" t="inlineStr">
        <is>
          <t>Azure Service</t>
        </is>
      </c>
      <c r="D174" s="2" t="inlineStr">
        <is>
          <t>APRL</t>
        </is>
      </c>
      <c r="E174" s="2" t="inlineStr">
        <is>
          <t>Microsoft.Compute</t>
        </is>
      </c>
      <c r="F174" s="2" t="inlineStr">
        <is>
          <t>disks</t>
        </is>
      </c>
      <c r="G174" s="2" t="inlineStr">
        <is>
          <t>HighAvailability</t>
        </is>
      </c>
      <c r="H174" s="2" t="inlineStr">
        <is>
          <t>Use Azure Disks with Zone Redundant Storage for higher resiliency and availability</t>
        </is>
      </c>
      <c r="I174" s="2" t="inlineStr">
        <is>
          <t>Medium</t>
        </is>
      </c>
      <c r="J174" s="2" t="inlineStr">
        <is>
          <t xml:space="preserve">Azure disks offers a zone-redundant storage (ZRS) option for workloads that need to be resilient to an entire zone being down. Due to the cross-zone data replication, ZRS disks have higher write latency when compared to the locally-redundant option (LRS), so make sure to benchmark your disks.
</t>
        </is>
      </c>
      <c r="K174" s="2" t="str">
        <f>HYPERLINK("https://aka.ms/zrsdisksdoc","https://aka.ms/zrsdisksdoc")</f>
      </c>
      <c r="L174" s="2" t="inlineStr">
        <is>
          <t>fa0cf4f5-0b21-47b7-89a9-ee936f193ce1</t>
        </is>
      </c>
    </row>
    <row r="175" s="3" customFormat="1">
      <c r="A175" s="3" t="inlineStr">
        <is>
          <t>N/A</t>
        </is>
      </c>
      <c r="B175" s="3" t="inlineStr">
        <is>
          <t>0</t>
        </is>
      </c>
      <c r="C175" s="3" t="inlineStr">
        <is>
          <t>Azure Service</t>
        </is>
      </c>
      <c r="D175" s="3" t="inlineStr">
        <is>
          <t>AZQR</t>
        </is>
      </c>
      <c r="E175" s="3" t="inlineStr">
        <is>
          <t>microsoft.eventgrid</t>
        </is>
      </c>
      <c r="F175" s="3" t="inlineStr">
        <is>
          <t>domains</t>
        </is>
      </c>
      <c r="G175" s="3" t="inlineStr">
        <is>
          <t>MonitoringAndAlerting</t>
        </is>
      </c>
      <c r="H175" s="3" t="inlineStr">
        <is>
          <t>Event Grid Domain should have diagnostic settings enabled</t>
        </is>
      </c>
      <c r="I175" s="3" t="inlineStr">
        <is>
          <t>Low</t>
        </is>
      </c>
      <c r="J175" s="3" t="inlineStr">
        <is>
          <t/>
        </is>
      </c>
      <c r="K175" s="3" t="str">
        <f>HYPERLINK("https://learn.microsoft.com/en-us/azure/event-grid/diagnostic-logs","https://learn.microsoft.com/en-us/azure/event-grid/diagnostic-logs")</f>
      </c>
      <c r="L175" s="3" t="inlineStr">
        <is>
          <t>evgd-001</t>
        </is>
      </c>
    </row>
    <row r="176" s="2" customFormat="1">
      <c r="A176" s="2" t="inlineStr">
        <is>
          <t>N/A</t>
        </is>
      </c>
      <c r="B176" s="2" t="inlineStr">
        <is>
          <t>0</t>
        </is>
      </c>
      <c r="C176" s="2" t="inlineStr">
        <is>
          <t>Azure Service</t>
        </is>
      </c>
      <c r="D176" s="2" t="inlineStr">
        <is>
          <t>AZQR</t>
        </is>
      </c>
      <c r="E176" s="2" t="inlineStr">
        <is>
          <t>Microsoft.EventGrid</t>
        </is>
      </c>
      <c r="F176" s="2" t="inlineStr">
        <is>
          <t>domains</t>
        </is>
      </c>
      <c r="G176" s="2" t="inlineStr">
        <is>
          <t>Security</t>
        </is>
      </c>
      <c r="H176" s="2" t="inlineStr">
        <is>
          <t>Event Grid Domain should have private endpoints enabled</t>
        </is>
      </c>
      <c r="I176" s="2" t="inlineStr">
        <is>
          <t>High</t>
        </is>
      </c>
      <c r="J176" s="2" t="inlineStr">
        <is>
          <t>Event Grid Domain should have private endpoints enabled</t>
        </is>
      </c>
      <c r="K176" s="2" t="str">
        <f>HYPERLINK("https://learn.microsoft.com/azure/event-grid/configure-private-endpoints","https://learn.microsoft.com/azure/event-grid/configure-private-endpoints")</f>
      </c>
      <c r="L176" s="2" t="inlineStr">
        <is>
          <t>evgd-004</t>
        </is>
      </c>
    </row>
    <row r="177" s="3" customFormat="1">
      <c r="A177" s="3" t="inlineStr">
        <is>
          <t>N/A</t>
        </is>
      </c>
      <c r="B177" s="3" t="inlineStr">
        <is>
          <t>0</t>
        </is>
      </c>
      <c r="C177" s="3" t="inlineStr">
        <is>
          <t>Azure Service</t>
        </is>
      </c>
      <c r="D177" s="3" t="inlineStr">
        <is>
          <t>AZQR</t>
        </is>
      </c>
      <c r="E177" s="3" t="inlineStr">
        <is>
          <t>Microsoft.EventGrid</t>
        </is>
      </c>
      <c r="F177" s="3" t="inlineStr">
        <is>
          <t>domains</t>
        </is>
      </c>
      <c r="G177" s="3" t="inlineStr">
        <is>
          <t>Security</t>
        </is>
      </c>
      <c r="H177" s="3" t="inlineStr">
        <is>
          <t>Event Grid Domain should have local authentication disabled</t>
        </is>
      </c>
      <c r="I177" s="3" t="inlineStr">
        <is>
          <t>Medium</t>
        </is>
      </c>
      <c r="J177" s="3" t="inlineStr">
        <is>
          <t>Event Grid Domain should have local authentication disabled</t>
        </is>
      </c>
      <c r="K177" s="3" t="str">
        <f>HYPERLINK("https://learn.microsoft.com/azure/event-grid/authenticate-with-microsoft-entra-id","https://learn.microsoft.com/azure/event-grid/authenticate-with-microsoft-entra-id")</f>
      </c>
      <c r="L177" s="3" t="inlineStr">
        <is>
          <t>evgd-008</t>
        </is>
      </c>
    </row>
    <row r="178" s="2" customFormat="1">
      <c r="A178" s="2" t="inlineStr">
        <is>
          <t>N/A</t>
        </is>
      </c>
      <c r="B178" s="2" t="inlineStr">
        <is>
          <t>0</t>
        </is>
      </c>
      <c r="C178" s="2" t="inlineStr">
        <is>
          <t>Azure Service</t>
        </is>
      </c>
      <c r="D178" s="2" t="inlineStr">
        <is>
          <t>AZQR</t>
        </is>
      </c>
      <c r="E178" s="2" t="inlineStr">
        <is>
          <t>Microsoft.DBforMySQL</t>
        </is>
      </c>
      <c r="F178" s="2" t="inlineStr">
        <is>
          <t>flexibleServers</t>
        </is>
      </c>
      <c r="G178" s="2" t="inlineStr">
        <is>
          <t>Security</t>
        </is>
      </c>
      <c r="H178" s="2" t="inlineStr">
        <is>
          <t>Azure Database for MySQL - Flexible Server should have private access enabled</t>
        </is>
      </c>
      <c r="I178" s="2" t="inlineStr">
        <is>
          <t>High</t>
        </is>
      </c>
      <c r="J178" s="2" t="inlineStr">
        <is>
          <t>Azure Database for MySQL - Flexible Server should have private access enabled</t>
        </is>
      </c>
      <c r="K178" s="2" t="str">
        <f>HYPERLINK("https://learn.microsoft.com/azure/mysql/flexible-server/concepts-networking-vnet","https://learn.microsoft.com/azure/mysql/flexible-server/concepts-networking-vnet")</f>
      </c>
      <c r="L178" s="2" t="inlineStr">
        <is>
          <t>mysqlf-004</t>
        </is>
      </c>
    </row>
    <row r="179" s="3" customFormat="1">
      <c r="A179" s="3" t="inlineStr">
        <is>
          <t>N/A</t>
        </is>
      </c>
      <c r="B179" s="3" t="inlineStr">
        <is>
          <t>0</t>
        </is>
      </c>
      <c r="C179" s="3" t="inlineStr">
        <is>
          <t>Azure Service</t>
        </is>
      </c>
      <c r="D179" s="3" t="inlineStr">
        <is>
          <t>APRL</t>
        </is>
      </c>
      <c r="E179" s="3" t="inlineStr">
        <is>
          <t>Microsoft.DBforMySQL</t>
        </is>
      </c>
      <c r="F179" s="3" t="inlineStr">
        <is>
          <t>flexibleServers</t>
        </is>
      </c>
      <c r="G179" s="3" t="inlineStr">
        <is>
          <t>DisasterRecovery</t>
        </is>
      </c>
      <c r="H179" s="3" t="inlineStr">
        <is>
          <t>Configure geo redundant backup storage</t>
        </is>
      </c>
      <c r="I179" s="3" t="inlineStr">
        <is>
          <t>High</t>
        </is>
      </c>
      <c r="J179" s="3" t="inlineStr">
        <is>
          <t xml:space="preserve">Configure GRS to ensure that your database meets its availability and durability targets even in the face of failures or disasters.
</t>
        </is>
      </c>
      <c r="K179" s="3" t="str">
        <f>HYPERLINK("https://learn.microsoft.com/azure/mysql/flexible-server/concepts-backup-restore","https://learn.microsoft.com/azure/mysql/flexible-server/concepts-backup-restore")</f>
      </c>
      <c r="L179" s="3" t="inlineStr">
        <is>
          <t>5c96afc3-7d2e-46ff-a4c7-9c32850c441b</t>
        </is>
      </c>
    </row>
    <row r="180" s="2" customFormat="1">
      <c r="A180" s="2" t="inlineStr">
        <is>
          <t>N/A</t>
        </is>
      </c>
      <c r="B180" s="2" t="inlineStr">
        <is>
          <t>0</t>
        </is>
      </c>
      <c r="C180" s="2" t="inlineStr">
        <is>
          <t>Azure Service</t>
        </is>
      </c>
      <c r="D180" s="2" t="inlineStr">
        <is>
          <t>APRL</t>
        </is>
      </c>
      <c r="E180" s="2" t="inlineStr">
        <is>
          <t>Microsoft.DBforMySQL</t>
        </is>
      </c>
      <c r="F180" s="2" t="inlineStr">
        <is>
          <t>flexibleServers</t>
        </is>
      </c>
      <c r="G180" s="2" t="inlineStr">
        <is>
          <t>DisasterRecovery</t>
        </is>
      </c>
      <c r="H180" s="2" t="inlineStr">
        <is>
          <t>Configure one or more read replicas</t>
        </is>
      </c>
      <c r="I180" s="2" t="inlineStr">
        <is>
          <t>High</t>
        </is>
      </c>
      <c r="J180" s="2" t="inlineStr">
        <is>
          <t xml:space="preserve">Configure one or more read replicas to ensure that your database meets its availability and durability targets even in the face of failures or disasters.
</t>
        </is>
      </c>
      <c r="K180" s="2" t="str">
        <f>HYPERLINK("https://learn.microsoft.com/azure/mysql/flexible-server/concepts-read-replicas","https://learn.microsoft.com/azure/mysql/flexible-server/concepts-read-replicas")</f>
      </c>
      <c r="L180" s="2" t="inlineStr">
        <is>
          <t>b49a8653-cc43-48c9-8513-a2d2e3f14dd1</t>
        </is>
      </c>
    </row>
    <row r="181" s="3" customFormat="1">
      <c r="A181" s="3" t="inlineStr">
        <is>
          <t>N/A</t>
        </is>
      </c>
      <c r="B181" s="3" t="inlineStr">
        <is>
          <t>0</t>
        </is>
      </c>
      <c r="C181" s="3" t="inlineStr">
        <is>
          <t>Azure Service</t>
        </is>
      </c>
      <c r="D181" s="3" t="inlineStr">
        <is>
          <t>APRL</t>
        </is>
      </c>
      <c r="E181" s="3" t="inlineStr">
        <is>
          <t>Microsoft.DBforMySQL</t>
        </is>
      </c>
      <c r="F181" s="3" t="inlineStr">
        <is>
          <t>flexibleServers</t>
        </is>
      </c>
      <c r="G181" s="3" t="inlineStr">
        <is>
          <t>Scalability</t>
        </is>
      </c>
      <c r="H181" s="3" t="inlineStr">
        <is>
          <t>Configure storage auto-grow</t>
        </is>
      </c>
      <c r="I181" s="3" t="inlineStr">
        <is>
          <t>High</t>
        </is>
      </c>
      <c r="J181" s="3" t="inlineStr">
        <is>
          <t xml:space="preserve">Configure storage auto-grow to prevent the server from running out of storage and becoming read-only.
</t>
        </is>
      </c>
      <c r="K181" s="3" t="str">
        <f>HYPERLINK("https://learn.microsoft.com/azure/mysql/flexible-server/concepts-service-tiers-storage#storage-auto-grow","https://learn.microsoft.com/azure/mysql/flexible-server/concepts-service-tiers-storage#storage-auto-grow")</f>
      </c>
      <c r="L181" s="3" t="inlineStr">
        <is>
          <t>8176a79d-8645-4e52-96be-a10fc0204fe5</t>
        </is>
      </c>
    </row>
    <row r="182" s="2" customFormat="1">
      <c r="A182" s="2" t="inlineStr">
        <is>
          <t>N/A</t>
        </is>
      </c>
      <c r="B182" s="2" t="inlineStr">
        <is>
          <t>0</t>
        </is>
      </c>
      <c r="C182" s="2" t="inlineStr">
        <is>
          <t>Azure Service</t>
        </is>
      </c>
      <c r="D182" s="2" t="inlineStr">
        <is>
          <t>APRL</t>
        </is>
      </c>
      <c r="E182" s="2" t="inlineStr">
        <is>
          <t>Microsoft.DBforMySQL</t>
        </is>
      </c>
      <c r="F182" s="2" t="inlineStr">
        <is>
          <t>flexibleServers</t>
        </is>
      </c>
      <c r="G182" s="2" t="inlineStr">
        <is>
          <t>HighAvailability</t>
        </is>
      </c>
      <c r="H182" s="2" t="inlineStr">
        <is>
          <t>Enable HA with zone redundancy</t>
        </is>
      </c>
      <c r="I182" s="2" t="inlineStr">
        <is>
          <t>High</t>
        </is>
      </c>
      <c r="J182" s="2" t="inlineStr">
        <is>
          <t xml:space="preserve">Enable HA with zone redundancy on flexible server instances to deploy a standby replica in a different zone, offering automatic failover capability for improved reliability and disaster recovery.
</t>
        </is>
      </c>
      <c r="K182" s="2" t="str">
        <f>HYPERLINK("https://learn.microsoft.com/azure/mysql/flexible-server/concepts-high-availability","https://learn.microsoft.com/azure/mysql/flexible-server/concepts-high-availability")</f>
      </c>
      <c r="L182" s="2" t="inlineStr">
        <is>
          <t>88856605-53d8-4bbd-a75b-4a7b14939d32</t>
        </is>
      </c>
    </row>
    <row r="183" s="3" customFormat="1">
      <c r="A183" s="3" t="inlineStr">
        <is>
          <t>N/A</t>
        </is>
      </c>
      <c r="B183" s="3" t="inlineStr">
        <is>
          <t>0</t>
        </is>
      </c>
      <c r="C183" s="3" t="inlineStr">
        <is>
          <t>Azure Service</t>
        </is>
      </c>
      <c r="D183" s="3" t="inlineStr">
        <is>
          <t>AZQR</t>
        </is>
      </c>
      <c r="E183" s="3" t="inlineStr">
        <is>
          <t>microsoft.dbformysql</t>
        </is>
      </c>
      <c r="F183" s="3" t="inlineStr">
        <is>
          <t>flexibleservers</t>
        </is>
      </c>
      <c r="G183" s="3" t="inlineStr">
        <is>
          <t>MonitoringAndAlerting</t>
        </is>
      </c>
      <c r="H183" s="3" t="inlineStr">
        <is>
          <t>Azure Database for MySQL - Flexible Server should have diagnostic settings enabled</t>
        </is>
      </c>
      <c r="I183" s="3" t="inlineStr">
        <is>
          <t>Low</t>
        </is>
      </c>
      <c r="J183" s="3" t="inlineStr">
        <is>
          <t/>
        </is>
      </c>
      <c r="K183" s="3" t="str">
        <f>HYPERLINK("https://learn.microsoft.com/en-us/azure/mysql/flexible-server/tutorial-query-performance-insights#set-up-diagnostics","https://learn.microsoft.com/en-us/azure/mysql/flexible-server/tutorial-query-performance-insights#set-up-diagnostics")</f>
      </c>
      <c r="L183" s="3" t="inlineStr">
        <is>
          <t>mysqlf-001</t>
        </is>
      </c>
    </row>
    <row r="184" s="2" customFormat="1">
      <c r="A184" s="2" t="inlineStr">
        <is>
          <t>false</t>
        </is>
      </c>
      <c r="B184" s="2" t="inlineStr">
        <is>
          <t>1</t>
        </is>
      </c>
      <c r="C184" s="2" t="inlineStr">
        <is>
          <t>Azure Service</t>
        </is>
      </c>
      <c r="D184" s="2" t="inlineStr">
        <is>
          <t>APRL</t>
        </is>
      </c>
      <c r="E184" s="2" t="inlineStr">
        <is>
          <t>Microsoft.Network</t>
        </is>
      </c>
      <c r="F184" s="2" t="inlineStr">
        <is>
          <t>networkSecurityGroups</t>
        </is>
      </c>
      <c r="G184" s="2" t="inlineStr">
        <is>
          <t>MonitoringAndAlerting</t>
        </is>
      </c>
      <c r="H184" s="2" t="inlineStr">
        <is>
          <t>Monitor changes in Network Security Groups with Azure Monitor</t>
        </is>
      </c>
      <c r="I184" s="2" t="inlineStr">
        <is>
          <t>Low</t>
        </is>
      </c>
      <c r="J184" s="2" t="inlineStr">
        <is>
          <t xml:space="preserve">Create Alerts with Azure Monitor for operations like creating or updating Network Security Group rules to catch unauthorized/undesired changes to resources and spot attempts to bypass firewalls or access resources from the outside.
</t>
        </is>
      </c>
      <c r="K184" s="2" t="str">
        <f>HYPERLINK("https://learn.microsoft.com/azure/azure-monitor/essentials/activity-log?tabs=powershell","https://learn.microsoft.com/azure/azure-monitor/essentials/activity-log?tabs=powershell")</f>
      </c>
      <c r="L184" s="2" t="inlineStr">
        <is>
          <t>8bb4a57b-55e4-d24e-9c19-2679d8bc779f</t>
        </is>
      </c>
    </row>
    <row r="185" s="3" customFormat="1">
      <c r="A185" s="3" t="inlineStr">
        <is>
          <t>true</t>
        </is>
      </c>
      <c r="B185" s="3" t="inlineStr">
        <is>
          <t>0</t>
        </is>
      </c>
      <c r="C185" s="3" t="inlineStr">
        <is>
          <t>Azure Service</t>
        </is>
      </c>
      <c r="D185" s="3" t="inlineStr">
        <is>
          <t>AOR</t>
        </is>
      </c>
      <c r="E185" s="3" t="inlineStr">
        <is>
          <t>Microsoft.Network</t>
        </is>
      </c>
      <c r="F185" s="3" t="inlineStr">
        <is>
          <t>networkSecurityGroups</t>
        </is>
      </c>
      <c r="G185" s="3" t="inlineStr">
        <is>
          <t>Governance</t>
        </is>
      </c>
      <c r="H185" s="3" t="inlineStr">
        <is>
          <t>Network Security Groups not attached to any network interface or subnet</t>
        </is>
      </c>
      <c r="I185" s="3" t="inlineStr">
        <is>
          <t>Medium</t>
        </is>
      </c>
      <c r="J185" s="3" t="inlineStr">
        <is>
          <t xml:space="preserve">Network Security Groups not attached to any network interface or subnet.
</t>
        </is>
      </c>
      <c r="K185" s="3" t="str">
        <f>HYPERLINK("https://learn.microsoft.com/en-us/azure/virtual-network/ip-services/private-ip-addresses","https://learn.microsoft.com/en-us/azure/virtual-network/ip-services/private-ip-addresses")</f>
      </c>
      <c r="L185" s="3" t="inlineStr">
        <is>
          <t>7a8b9c0d-1e2f-3a4b-5c6d-7e8f9a0b1c2d</t>
        </is>
      </c>
    </row>
    <row r="186" s="2" customFormat="1">
      <c r="A186" s="2" t="inlineStr">
        <is>
          <t>true</t>
        </is>
      </c>
      <c r="B186" s="2" t="inlineStr">
        <is>
          <t>0</t>
        </is>
      </c>
      <c r="C186" s="2" t="inlineStr">
        <is>
          <t>Azure Service</t>
        </is>
      </c>
      <c r="D186" s="2" t="inlineStr">
        <is>
          <t>AZQR</t>
        </is>
      </c>
      <c r="E186" s="2" t="inlineStr">
        <is>
          <t>microsoft.network</t>
        </is>
      </c>
      <c r="F186" s="2" t="inlineStr">
        <is>
          <t>networksecuritygroups</t>
        </is>
      </c>
      <c r="G186" s="2" t="inlineStr">
        <is>
          <t>MonitoringAndAlerting</t>
        </is>
      </c>
      <c r="H186" s="2" t="inlineStr">
        <is>
          <t>NSG should have diagnostic settings enabled</t>
        </is>
      </c>
      <c r="I186" s="2" t="inlineStr">
        <is>
          <t>Low</t>
        </is>
      </c>
      <c r="J186" s="2" t="inlineStr">
        <is>
          <t/>
        </is>
      </c>
      <c r="K186" s="2" t="str">
        <f>HYPERLINK("https://learn.microsoft.com/en-us/azure/virtual-network/virtual-network-nsg-manage-log","https://learn.microsoft.com/en-us/azure/virtual-network/virtual-network-nsg-manage-log")</f>
      </c>
      <c r="L186" s="2" t="inlineStr">
        <is>
          <t>nsg-001</t>
        </is>
      </c>
    </row>
    <row r="187" s="3" customFormat="1">
      <c r="A187" s="3" t="inlineStr">
        <is>
          <t>N/A</t>
        </is>
      </c>
      <c r="B187" s="3" t="inlineStr">
        <is>
          <t>0</t>
        </is>
      </c>
      <c r="C187" s="3" t="inlineStr">
        <is>
          <t>Azure Service</t>
        </is>
      </c>
      <c r="D187" s="3" t="inlineStr">
        <is>
          <t>APRL</t>
        </is>
      </c>
      <c r="E187" s="3" t="inlineStr">
        <is>
          <t>Microsoft.Cache</t>
        </is>
      </c>
      <c r="F187" s="3" t="inlineStr">
        <is>
          <t>Redis</t>
        </is>
      </c>
      <c r="G187" s="3" t="inlineStr">
        <is>
          <t>HighAvailability</t>
        </is>
      </c>
      <c r="H187" s="3" t="inlineStr">
        <is>
          <t>Enable zone redundancy for Azure Cache for Redis</t>
        </is>
      </c>
      <c r="I187" s="3" t="inlineStr">
        <is>
          <t>High</t>
        </is>
      </c>
      <c r="J187" s="3" t="inlineStr">
        <is>
          <t xml:space="preserve">Azure Cache for Redis offers zone redundancy in Premium and Enterprise tiers, using VMs across multiple Availability Zones to ensure greater resilience and availability.
</t>
        </is>
      </c>
      <c r="K187" s="3" t="str">
        <f>HYPERLINK("https://learn.microsoft.com/azure/azure-cache-for-redis/cache-how-to-zone-redundancy","https://learn.microsoft.com/azure/azure-cache-for-redis/cache-how-to-zone-redundancy")</f>
      </c>
      <c r="L187" s="3" t="inlineStr">
        <is>
          <t>5a44bd30-ae6a-4b81-9b68-dc3a8ffca4d8</t>
        </is>
      </c>
    </row>
    <row r="188" s="2" customFormat="1">
      <c r="A188" s="2" t="inlineStr">
        <is>
          <t>N/A</t>
        </is>
      </c>
      <c r="B188" s="2" t="inlineStr">
        <is>
          <t>0</t>
        </is>
      </c>
      <c r="C188" s="2" t="inlineStr">
        <is>
          <t>Azure Service</t>
        </is>
      </c>
      <c r="D188" s="2" t="inlineStr">
        <is>
          <t>AZQR</t>
        </is>
      </c>
      <c r="E188" s="2" t="inlineStr">
        <is>
          <t>microsoft.cache</t>
        </is>
      </c>
      <c r="F188" s="2" t="inlineStr">
        <is>
          <t>redis</t>
        </is>
      </c>
      <c r="G188" s="2" t="inlineStr">
        <is>
          <t>MonitoringAndAlerting</t>
        </is>
      </c>
      <c r="H188" s="2" t="inlineStr">
        <is>
          <t>Redis should have diagnostic settings enabled</t>
        </is>
      </c>
      <c r="I188" s="2" t="inlineStr">
        <is>
          <t>Low</t>
        </is>
      </c>
      <c r="J188" s="2" t="inlineStr">
        <is>
          <t/>
        </is>
      </c>
      <c r="K188" s="2" t="str">
        <f>HYPERLINK("https://learn.microsoft.com/en-us/azure/azure-cache-for-redis/cache-monitor-diagnostic-settings","https://learn.microsoft.com/en-us/azure/azure-cache-for-redis/cache-monitor-diagnostic-settings")</f>
      </c>
      <c r="L188" s="2" t="inlineStr">
        <is>
          <t>redis-001</t>
        </is>
      </c>
    </row>
    <row r="189" s="3" customFormat="1">
      <c r="A189" s="3" t="inlineStr">
        <is>
          <t>N/A</t>
        </is>
      </c>
      <c r="B189" s="3" t="inlineStr">
        <is>
          <t>0</t>
        </is>
      </c>
      <c r="C189" s="3" t="inlineStr">
        <is>
          <t>Azure Service</t>
        </is>
      </c>
      <c r="D189" s="3" t="inlineStr">
        <is>
          <t>AZQR</t>
        </is>
      </c>
      <c r="E189" s="3" t="inlineStr">
        <is>
          <t>Microsoft.Cache</t>
        </is>
      </c>
      <c r="F189" s="3" t="inlineStr">
        <is>
          <t>Redis</t>
        </is>
      </c>
      <c r="G189" s="3" t="inlineStr">
        <is>
          <t>Security</t>
        </is>
      </c>
      <c r="H189" s="3" t="inlineStr">
        <is>
          <t>Redis should not enable non SSL ports</t>
        </is>
      </c>
      <c r="I189" s="3" t="inlineStr">
        <is>
          <t>High</t>
        </is>
      </c>
      <c r="J189" s="3" t="inlineStr">
        <is>
          <t>Redis should not enable non SSL ports</t>
        </is>
      </c>
      <c r="K189" s="3" t="str">
        <f>HYPERLINK("https://learn.microsoft.com/azure/azure-cache-for-redis/cache-network-isolation","https://learn.microsoft.com/azure/azure-cache-for-redis/cache-network-isolation")</f>
      </c>
      <c r="L189" s="3" t="inlineStr">
        <is>
          <t>redis-008</t>
        </is>
      </c>
    </row>
    <row r="190" s="2" customFormat="1">
      <c r="A190" s="2" t="inlineStr">
        <is>
          <t>N/A</t>
        </is>
      </c>
      <c r="B190" s="2" t="inlineStr">
        <is>
          <t>0</t>
        </is>
      </c>
      <c r="C190" s="2" t="inlineStr">
        <is>
          <t>Azure Service</t>
        </is>
      </c>
      <c r="D190" s="2" t="inlineStr">
        <is>
          <t>AZQR</t>
        </is>
      </c>
      <c r="E190" s="2" t="inlineStr">
        <is>
          <t>Microsoft.Cache</t>
        </is>
      </c>
      <c r="F190" s="2" t="inlineStr">
        <is>
          <t>Redis</t>
        </is>
      </c>
      <c r="G190" s="2" t="inlineStr">
        <is>
          <t>HighAvailability</t>
        </is>
      </c>
      <c r="H190" s="2" t="inlineStr">
        <is>
          <t>Azure Cache for Redis SKU is deprecated and should be migrated to Azure Managed Redis</t>
        </is>
      </c>
      <c r="I190" s="2" t="inlineStr">
        <is>
          <t>High</t>
        </is>
      </c>
      <c r="J190" s="2" t="inlineStr">
        <is>
          <t xml:space="preserve">All Azure Cache for Redis SKUs (Basic, Standard, Premium) are being retired on September 30, 2028.
Migrate your existing instances to Azure Managed Redis using the new SKUs:
Balanced_B*, MemoryOptimized_M*, ComputeOptimized_X*, or Flash_F*.
</t>
        </is>
      </c>
      <c r="K190" s="2" t="str">
        <f>HYPERLINK("https://learn.microsoft.com/en-us/azure/redis/migrate/migrate-basic-standard-premium-overview","https://learn.microsoft.com/en-us/azure/redis/migrate/migrate-basic-standard-premium-overview")</f>
      </c>
      <c r="L190" s="2" t="inlineStr">
        <is>
          <t>redis-011</t>
        </is>
      </c>
    </row>
    <row r="191" s="3" customFormat="1">
      <c r="A191" s="3" t="inlineStr">
        <is>
          <t>N/A</t>
        </is>
      </c>
      <c r="B191" s="3" t="inlineStr">
        <is>
          <t>0</t>
        </is>
      </c>
      <c r="C191" s="3" t="inlineStr">
        <is>
          <t>Azure Service</t>
        </is>
      </c>
      <c r="D191" s="3" t="inlineStr">
        <is>
          <t>AZQR</t>
        </is>
      </c>
      <c r="E191" s="3" t="inlineStr">
        <is>
          <t>Microsoft.Cache</t>
        </is>
      </c>
      <c r="F191" s="3" t="inlineStr">
        <is>
          <t>Redis</t>
        </is>
      </c>
      <c r="G191" s="3" t="inlineStr">
        <is>
          <t>Security</t>
        </is>
      </c>
      <c r="H191" s="3" t="inlineStr">
        <is>
          <t>Redis should enforce TLS &gt;= 1.2</t>
        </is>
      </c>
      <c r="I191" s="3" t="inlineStr">
        <is>
          <t>Low</t>
        </is>
      </c>
      <c r="J191" s="3" t="inlineStr">
        <is>
          <t>Redis should enforce TLS &gt;= 1.2</t>
        </is>
      </c>
      <c r="K191" s="3" t="str">
        <f>HYPERLINK("https://learn.microsoft.com/azure/azure-cache-for-redis/cache-remove-tls-10-11","https://learn.microsoft.com/azure/azure-cache-for-redis/cache-remove-tls-10-11")</f>
      </c>
      <c r="L191" s="3" t="inlineStr">
        <is>
          <t>redis-009</t>
        </is>
      </c>
    </row>
    <row r="192" s="2" customFormat="1">
      <c r="A192" s="2" t="inlineStr">
        <is>
          <t>N/A</t>
        </is>
      </c>
      <c r="B192" s="2" t="inlineStr">
        <is>
          <t>0</t>
        </is>
      </c>
      <c r="C192" s="2" t="inlineStr">
        <is>
          <t>Azure Service</t>
        </is>
      </c>
      <c r="D192" s="2" t="inlineStr">
        <is>
          <t>APRL</t>
        </is>
      </c>
      <c r="E192" s="2" t="inlineStr">
        <is>
          <t>Microsoft.Network</t>
        </is>
      </c>
      <c r="F192" s="2" t="inlineStr">
        <is>
          <t>applicationGateways</t>
        </is>
      </c>
      <c r="G192" s="2" t="inlineStr">
        <is>
          <t>Scalability</t>
        </is>
      </c>
      <c r="H192" s="2" t="inlineStr">
        <is>
          <t>Migrate to Application Gateway v2</t>
        </is>
      </c>
      <c r="I192" s="2" t="inlineStr">
        <is>
          <t>High</t>
        </is>
      </c>
      <c r="J192" s="2" t="inlineStr">
        <is>
          <t xml:space="preserve">Use Application Gateway v2 for built-in features like autoscaling, static VIPs, Azure KeyVault integration for better traffic management and performance, unless v1 is necessary.
</t>
        </is>
      </c>
      <c r="K192" s="2" t="str">
        <f>HYPERLINK("https://learn.microsoft.com/azure/application-gateway/overview-v2","https://learn.microsoft.com/azure/application-gateway/overview-v2")</f>
      </c>
      <c r="L192" s="2" t="inlineStr">
        <is>
          <t>7893f0b3-8622-1d47-beed-4b50a19f7895</t>
        </is>
      </c>
    </row>
    <row r="193" s="3" customFormat="1">
      <c r="A193" s="3" t="inlineStr">
        <is>
          <t>N/A</t>
        </is>
      </c>
      <c r="B193" s="3" t="inlineStr">
        <is>
          <t>0</t>
        </is>
      </c>
      <c r="C193" s="3" t="inlineStr">
        <is>
          <t>Azure Service</t>
        </is>
      </c>
      <c r="D193" s="3" t="inlineStr">
        <is>
          <t>APRL</t>
        </is>
      </c>
      <c r="E193" s="3" t="inlineStr">
        <is>
          <t>Microsoft.Network</t>
        </is>
      </c>
      <c r="F193" s="3" t="inlineStr">
        <is>
          <t>applicationGateways</t>
        </is>
      </c>
      <c r="G193" s="3" t="inlineStr">
        <is>
          <t>Scalability</t>
        </is>
      </c>
      <c r="H193" s="3" t="inlineStr">
        <is>
          <t>Ensure Autoscale feature has been enabled</t>
        </is>
      </c>
      <c r="I193" s="3" t="inlineStr">
        <is>
          <t>Medium</t>
        </is>
      </c>
      <c r="J193" s="3" t="inlineStr">
        <is>
          <t xml:space="preserve">Azure Application Gateways v2 are always deployed in a highly available fashion with multiple instances by default. Enabling autoscale ensures the service is not reliant on manual intervention for scaling.
</t>
        </is>
      </c>
      <c r="K193" s="3" t="str">
        <f>HYPERLINK("https://learn.microsoft.com/azure/application-gateway/application-gateway-autoscaling-zone-redundant#autoscaling-and-high-availability","https://learn.microsoft.com/azure/application-gateway/application-gateway-autoscaling-zone-redundant#autoscaling-and-high-availability")</f>
      </c>
      <c r="L193" s="3" t="inlineStr">
        <is>
          <t>823b0cff-05c0-2e4e-a1e7-9965e1cfa16f</t>
        </is>
      </c>
    </row>
    <row r="194" s="2" customFormat="1">
      <c r="A194" s="2" t="inlineStr">
        <is>
          <t>N/A</t>
        </is>
      </c>
      <c r="B194" s="2" t="inlineStr">
        <is>
          <t>0</t>
        </is>
      </c>
      <c r="C194" s="2" t="inlineStr">
        <is>
          <t>Azure Service</t>
        </is>
      </c>
      <c r="D194" s="2" t="inlineStr">
        <is>
          <t>APRL</t>
        </is>
      </c>
      <c r="E194" s="2" t="inlineStr">
        <is>
          <t>Microsoft.Network</t>
        </is>
      </c>
      <c r="F194" s="2" t="inlineStr">
        <is>
          <t>applicationGateways</t>
        </is>
      </c>
      <c r="G194" s="2" t="inlineStr">
        <is>
          <t>MonitoringAndAlerting</t>
        </is>
      </c>
      <c r="H194" s="2" t="inlineStr">
        <is>
          <t>Use Health Probes to detect backend availability</t>
        </is>
      </c>
      <c r="I194" s="2" t="inlineStr">
        <is>
          <t>High</t>
        </is>
      </c>
      <c r="J194" s="2" t="inlineStr">
        <is>
          <t xml:space="preserve">Using custom health probes enhances understanding of backend availability and facilitates monitoring of backend services for any impact.
</t>
        </is>
      </c>
      <c r="K194" s="2" t="str">
        <f>HYPERLINK("https://learn.microsoft.com/azure/application-gateway/application-gateway-probe-overview","https://learn.microsoft.com/azure/application-gateway/application-gateway-probe-overview")</f>
      </c>
      <c r="L194" s="2" t="inlineStr">
        <is>
          <t>847a8d88-21c4-bc48-a94e-562206edd767</t>
        </is>
      </c>
    </row>
    <row r="195" s="3" customFormat="1">
      <c r="A195" s="3" t="inlineStr">
        <is>
          <t>N/A</t>
        </is>
      </c>
      <c r="B195" s="3" t="inlineStr">
        <is>
          <t>0</t>
        </is>
      </c>
      <c r="C195" s="3" t="inlineStr">
        <is>
          <t>Azure Service</t>
        </is>
      </c>
      <c r="D195" s="3" t="inlineStr">
        <is>
          <t>APRL</t>
        </is>
      </c>
      <c r="E195" s="3" t="inlineStr">
        <is>
          <t>Microsoft.Network</t>
        </is>
      </c>
      <c r="F195" s="3" t="inlineStr">
        <is>
          <t>applicationGateways</t>
        </is>
      </c>
      <c r="G195" s="3" t="inlineStr">
        <is>
          <t>OtherBestPractices</t>
        </is>
      </c>
      <c r="H195" s="3" t="inlineStr">
        <is>
          <t>A minimum subnet size of /24 is recommended for Application Gateway v2 subnets.</t>
        </is>
      </c>
      <c r="I195" s="3" t="inlineStr">
        <is>
          <t>High</t>
        </is>
      </c>
      <c r="J195" s="3" t="inlineStr">
        <is>
          <t xml:space="preserve">Application Gateway (Standard_v2 or WAF_v2 SKU) can support up to 125 instances (125 instance IP addresses + 1 private frontend IP configuration + 5 Azure reserved). A minimum subnet size of /24 is recommended.
</t>
        </is>
      </c>
      <c r="K195" s="3" t="str">
        <f>HYPERLINK("https://learn.microsoft.com/azure/application-gateway/configuration-infrastructure#size-of-the-subnet","https://learn.microsoft.com/azure/application-gateway/configuration-infrastructure#size-of-the-subnet")</f>
      </c>
      <c r="L195" s="3" t="inlineStr">
        <is>
          <t>8364fd0a-7c0e-e240-9d95-4bf965aec243</t>
        </is>
      </c>
    </row>
    <row r="196" s="2" customFormat="1">
      <c r="A196" s="2" t="inlineStr">
        <is>
          <t>N/A</t>
        </is>
      </c>
      <c r="B196" s="2" t="inlineStr">
        <is>
          <t>0</t>
        </is>
      </c>
      <c r="C196" s="2" t="inlineStr">
        <is>
          <t>Azure Service</t>
        </is>
      </c>
      <c r="D196" s="2" t="inlineStr">
        <is>
          <t>APRL</t>
        </is>
      </c>
      <c r="E196" s="2" t="inlineStr">
        <is>
          <t>Microsoft.Network</t>
        </is>
      </c>
      <c r="F196" s="2" t="inlineStr">
        <is>
          <t>applicationGateways</t>
        </is>
      </c>
      <c r="G196" s="2" t="inlineStr">
        <is>
          <t>HighAvailability</t>
        </is>
      </c>
      <c r="H196" s="2" t="inlineStr">
        <is>
          <t>Deploy Application Gateway in a zone-redundant configuration</t>
        </is>
      </c>
      <c r="I196" s="2" t="inlineStr">
        <is>
          <t>High</t>
        </is>
      </c>
      <c r="J196" s="2" t="inlineStr">
        <is>
          <t xml:space="preserve">Deploying Application Gateway in a zone-aware configuration ensures continued customer access to services even if a specific zone goes down, as services in other zones remain available.
</t>
        </is>
      </c>
      <c r="K196" s="2" t="str">
        <f>HYPERLINK("https://learn.microsoft.com/azure/well-architected/services/networking/azure-application-gateway#reliability","https://learn.microsoft.com/azure/well-architected/services/networking/azure-application-gateway#reliability")</f>
      </c>
      <c r="L196" s="2" t="inlineStr">
        <is>
          <t>c9c00f2a-3888-714b-a72b-b4c9e8fcffb2</t>
        </is>
      </c>
    </row>
    <row r="197" s="3" customFormat="1">
      <c r="A197" s="3" t="inlineStr">
        <is>
          <t>N/A</t>
        </is>
      </c>
      <c r="B197" s="3" t="inlineStr">
        <is>
          <t>0</t>
        </is>
      </c>
      <c r="C197" s="3" t="inlineStr">
        <is>
          <t>Azure Service</t>
        </is>
      </c>
      <c r="D197" s="3" t="inlineStr">
        <is>
          <t>APRL</t>
        </is>
      </c>
      <c r="E197" s="3" t="inlineStr">
        <is>
          <t>Microsoft.Network</t>
        </is>
      </c>
      <c r="F197" s="3" t="inlineStr">
        <is>
          <t>applicationGateways</t>
        </is>
      </c>
      <c r="G197" s="3" t="inlineStr">
        <is>
          <t>HighAvailability</t>
        </is>
      </c>
      <c r="H197" s="3" t="inlineStr">
        <is>
          <t>Plan for backend maintenance by using connection draining</t>
        </is>
      </c>
      <c r="I197" s="3" t="inlineStr">
        <is>
          <t>Medium</t>
        </is>
      </c>
      <c r="J197" s="3" t="inlineStr">
        <is>
          <t xml:space="preserve">Using connection draining for backend maintenance ensures graceful removal of backend pool members during updates or health issues. It's enabled via Backend Setting and applies to all members during rule creation.
</t>
        </is>
      </c>
      <c r="K197" s="3" t="str">
        <f>HYPERLINK("https://learn.microsoft.com/azure/application-gateway/features#connection-draining","https://learn.microsoft.com/azure/application-gateway/features#connection-draining")</f>
      </c>
      <c r="L197" s="3" t="inlineStr">
        <is>
          <t>10f02bc6-e2e7-004d-a2c2-f9bf9f16b915</t>
        </is>
      </c>
    </row>
    <row r="198" s="2" customFormat="1">
      <c r="A198" s="2" t="inlineStr">
        <is>
          <t>N/A</t>
        </is>
      </c>
      <c r="B198" s="2" t="inlineStr">
        <is>
          <t>0</t>
        </is>
      </c>
      <c r="C198" s="2" t="inlineStr">
        <is>
          <t>Azure Service</t>
        </is>
      </c>
      <c r="D198" s="2" t="inlineStr">
        <is>
          <t>AOR</t>
        </is>
      </c>
      <c r="E198" s="2" t="inlineStr">
        <is>
          <t>Microsoft.Network</t>
        </is>
      </c>
      <c r="F198" s="2" t="inlineStr">
        <is>
          <t>applicationGateways</t>
        </is>
      </c>
      <c r="G198" s="2" t="inlineStr">
        <is>
          <t>Governance</t>
        </is>
      </c>
      <c r="H198" s="2" t="inlineStr">
        <is>
          <t>Application Gateways without backend targets</t>
        </is>
      </c>
      <c r="I198" s="2" t="inlineStr">
        <is>
          <t>Medium</t>
        </is>
      </c>
      <c r="J198" s="2" t="inlineStr">
        <is>
          <t xml:space="preserve">Application Gateways without backend targets.
</t>
        </is>
      </c>
      <c r="K198" s="2" t="str">
        <f>HYPERLINK("https://learn.microsoft.com/azure/application-gateway/overview","https://learn.microsoft.com/azure/application-gateway/overview")</f>
      </c>
      <c r="L198" s="2" t="inlineStr">
        <is>
          <t>2f3a4b5c-6d7e-8f9a-0b1c-2d3e4f5a6b7c</t>
        </is>
      </c>
    </row>
    <row r="199" s="3" customFormat="1">
      <c r="A199" s="3" t="inlineStr">
        <is>
          <t>N/A</t>
        </is>
      </c>
      <c r="B199" s="3" t="inlineStr">
        <is>
          <t>0</t>
        </is>
      </c>
      <c r="C199" s="3" t="inlineStr">
        <is>
          <t>Azure Service</t>
        </is>
      </c>
      <c r="D199" s="3" t="inlineStr">
        <is>
          <t>AZQR</t>
        </is>
      </c>
      <c r="E199" s="3" t="inlineStr">
        <is>
          <t>microsoft.network</t>
        </is>
      </c>
      <c r="F199" s="3" t="inlineStr">
        <is>
          <t>applicationgateways</t>
        </is>
      </c>
      <c r="G199" s="3" t="inlineStr">
        <is>
          <t>MonitoringAndAlerting</t>
        </is>
      </c>
      <c r="H199" s="3" t="inlineStr">
        <is>
          <t>Application Gateway: Monitor and Log the configurations and traffic</t>
        </is>
      </c>
      <c r="I199" s="3" t="inlineStr">
        <is>
          <t>Low</t>
        </is>
      </c>
      <c r="J199" s="3" t="inlineStr">
        <is>
          <t/>
        </is>
      </c>
      <c r="K199" s="3" t="str">
        <f>HYPERLINK("https://learn.microsoft.com/en-us/azure/application-gateway/application-gateway-diagnostics#diagnostic-logging","https://learn.microsoft.com/en-us/azure/application-gateway/application-gateway-diagnostics#diagnostic-logging")</f>
      </c>
      <c r="L199" s="3" t="inlineStr">
        <is>
          <t>agw-005</t>
        </is>
      </c>
    </row>
    <row r="200" s="2" customFormat="1">
      <c r="A200" s="2" t="inlineStr">
        <is>
          <t>N/A</t>
        </is>
      </c>
      <c r="B200" s="2" t="inlineStr">
        <is>
          <t>0</t>
        </is>
      </c>
      <c r="C200" s="2" t="inlineStr">
        <is>
          <t>Azure Service</t>
        </is>
      </c>
      <c r="D200" s="2" t="inlineStr">
        <is>
          <t>AZQR</t>
        </is>
      </c>
      <c r="E200" s="2" t="inlineStr">
        <is>
          <t>Microsoft.MachineLearningServices</t>
        </is>
      </c>
      <c r="F200" s="2" t="inlineStr">
        <is>
          <t>workspaces</t>
        </is>
      </c>
      <c r="G200" s="2" t="inlineStr">
        <is>
          <t>Security</t>
        </is>
      </c>
      <c r="H200" s="2" t="inlineStr">
        <is>
          <t>Service should disable public network access</t>
        </is>
      </c>
      <c r="I200" s="2" t="inlineStr">
        <is>
          <t>High</t>
        </is>
      </c>
      <c r="J200" s="2" t="inlineStr">
        <is>
          <t>Service should disable public network access</t>
        </is>
      </c>
      <c r="K200" s="2" t="str">
        <f>HYPERLINK("https://learn.microsoft.com/azure/machine-learning/how-to-configure-private-link","https://learn.microsoft.com/azure/machine-learning/how-to-configure-private-link")</f>
      </c>
      <c r="L200" s="2" t="inlineStr">
        <is>
          <t>hub-004</t>
        </is>
      </c>
    </row>
    <row r="201" s="3" customFormat="1">
      <c r="A201" s="3" t="inlineStr">
        <is>
          <t>N/A</t>
        </is>
      </c>
      <c r="B201" s="3" t="inlineStr">
        <is>
          <t>0</t>
        </is>
      </c>
      <c r="C201" s="3" t="inlineStr">
        <is>
          <t>Azure Service</t>
        </is>
      </c>
      <c r="D201" s="3" t="inlineStr">
        <is>
          <t>APRL</t>
        </is>
      </c>
      <c r="E201" s="3" t="inlineStr">
        <is>
          <t>Microsoft.MachineLearningServices</t>
        </is>
      </c>
      <c r="F201" s="3" t="inlineStr">
        <is>
          <t>workspaces</t>
        </is>
      </c>
      <c r="G201" s="3" t="inlineStr">
        <is>
          <t>OtherBestPractices</t>
        </is>
      </c>
      <c r="H201" s="3" t="inlineStr">
        <is>
          <t>Make Azure Machine Learning quota requests through the Azure Machine Learning Studio</t>
        </is>
      </c>
      <c r="I201" s="3" t="inlineStr">
        <is>
          <t>High</t>
        </is>
      </c>
      <c r="J201" s="3" t="inlineStr">
        <is>
          <t xml:space="preserve">Requests for additional Azure Machine Learning quota should be made through the Azure Machine Learning Studio instead of the subscription level in the Azure portal.
</t>
        </is>
      </c>
      <c r="K201" s="3" t="str">
        <f>HYPERLINK("https://learn.microsoft.com/azure/machine-learning/how-to-manage-quotas?view=azureml-api-2","https://learn.microsoft.com/azure/machine-learning/how-to-manage-quotas?view=azureml-api-2")</f>
      </c>
      <c r="L201" s="3" t="inlineStr">
        <is>
          <t>48ea6480-6263-40ba-8937-326d790e63f6</t>
        </is>
      </c>
    </row>
    <row r="202" s="2" customFormat="1">
      <c r="A202" s="2" t="inlineStr">
        <is>
          <t>N/A</t>
        </is>
      </c>
      <c r="B202" s="2" t="inlineStr">
        <is>
          <t>0</t>
        </is>
      </c>
      <c r="C202" s="2" t="inlineStr">
        <is>
          <t>Azure Service</t>
        </is>
      </c>
      <c r="D202" s="2" t="inlineStr">
        <is>
          <t>AZQR</t>
        </is>
      </c>
      <c r="E202" s="2" t="inlineStr">
        <is>
          <t>microsoft.machinelearningservices</t>
        </is>
      </c>
      <c r="F202" s="2" t="inlineStr">
        <is>
          <t>workspaces</t>
        </is>
      </c>
      <c r="G202" s="2" t="inlineStr">
        <is>
          <t>MonitoringAndAlerting</t>
        </is>
      </c>
      <c r="H202" s="2" t="inlineStr">
        <is>
          <t>Service should have diagnostic settings enabled</t>
        </is>
      </c>
      <c r="I202" s="2" t="inlineStr">
        <is>
          <t>Low</t>
        </is>
      </c>
      <c r="J202" s="2" t="inlineStr">
        <is>
          <t/>
        </is>
      </c>
      <c r="K202" s="2" t="str">
        <f>HYPERLINK("https://learn.microsoft.com/en-us/azure/event-hubs/monitor-event-hubs#collection-and-routing","https://learn.microsoft.com/en-us/azure/event-hubs/monitor-event-hubs#collection-and-routing")</f>
      </c>
      <c r="L202" s="2" t="inlineStr">
        <is>
          <t>hub-006</t>
        </is>
      </c>
    </row>
    <row r="203" s="3" customFormat="1">
      <c r="A203" s="3" t="inlineStr">
        <is>
          <t>N/A</t>
        </is>
      </c>
      <c r="B203" s="3" t="inlineStr">
        <is>
          <t>0</t>
        </is>
      </c>
      <c r="C203" s="3" t="inlineStr">
        <is>
          <t>Azure Service</t>
        </is>
      </c>
      <c r="D203" s="3" t="inlineStr">
        <is>
          <t>APRL</t>
        </is>
      </c>
      <c r="E203" s="3" t="inlineStr">
        <is>
          <t>Microsoft.MachineLearningServices</t>
        </is>
      </c>
      <c r="F203" s="3" t="inlineStr">
        <is>
          <t>workspaces</t>
        </is>
      </c>
      <c r="G203" s="3" t="inlineStr">
        <is>
          <t>DisasterRecovery</t>
        </is>
      </c>
      <c r="H203" s="3" t="inlineStr">
        <is>
          <t>Selecting regions for BCDR, ensure that both regions offer adequate compute quotas</t>
        </is>
      </c>
      <c r="I203" s="3" t="inlineStr">
        <is>
          <t>High</t>
        </is>
      </c>
      <c r="J203" s="3" t="inlineStr">
        <is>
          <t xml:space="preserve">When selecting regions for BCDR, ensure that both regions offer adequate compute quotas to meet your requirements in the same SKU. This ensures that you can failover to the secondary region without any issues.
</t>
        </is>
      </c>
      <c r="K203" s="3" t="str">
        <f>HYPERLINK("https://learn.microsoft.com/azure/machine-learning/how-to-manage-quotas?view=azureml-api-2","https://learn.microsoft.com/azure/machine-learning/how-to-manage-quotas?view=azureml-api-2")</f>
      </c>
      <c r="L203" s="3" t="inlineStr">
        <is>
          <t>6e4f0fd1-1853-4b94-9736-6d6d239d2694</t>
        </is>
      </c>
    </row>
    <row r="204" s="2" customFormat="1">
      <c r="A204" s="2" t="inlineStr">
        <is>
          <t>N/A</t>
        </is>
      </c>
      <c r="B204" s="2" t="inlineStr">
        <is>
          <t>0</t>
        </is>
      </c>
      <c r="C204" s="2" t="inlineStr">
        <is>
          <t>Azure Service</t>
        </is>
      </c>
      <c r="D204" s="2" t="inlineStr">
        <is>
          <t>APRL</t>
        </is>
      </c>
      <c r="E204" s="2" t="inlineStr">
        <is>
          <t>Microsoft.MachineLearningServices</t>
        </is>
      </c>
      <c r="F204" s="2" t="inlineStr">
        <is>
          <t>workspaces</t>
        </is>
      </c>
      <c r="G204" s="2" t="inlineStr">
        <is>
          <t>ServiceUpgradeAndRetirement</t>
        </is>
      </c>
      <c r="H204" s="2" t="inlineStr">
        <is>
          <t>Choose SKUs with longer terms and avoid those nearing retirement</t>
        </is>
      </c>
      <c r="I204" s="2" t="inlineStr">
        <is>
          <t>Medium</t>
        </is>
      </c>
      <c r="J204" s="2" t="inlineStr">
        <is>
          <t xml:space="preserve">When choosing SKUs, opt for those that support longer terms and steer clear of any SKUs that are nearing retirement. This ensures that you can continue to use the SKU for a longer period of time.
</t>
        </is>
      </c>
      <c r="K204" s="2" t="str">
        <f>HYPERLINK("https://learn.microsoft.com/azure/machine-learning/concept-compute-target?view=azureml-api-2#supported-vm-series-and-sizes","https://learn.microsoft.com/azure/machine-learning/concept-compute-target?view=azureml-api-2#supported-vm-series-and-sizes")</f>
      </c>
      <c r="L204" s="2" t="inlineStr">
        <is>
          <t>6e2af91f-477d-46a5-b8ce-6cd1b8176550</t>
        </is>
      </c>
    </row>
    <row r="205" s="3" customFormat="1">
      <c r="A205" s="3" t="inlineStr">
        <is>
          <t>N/A</t>
        </is>
      </c>
      <c r="B205" s="3" t="inlineStr">
        <is>
          <t>0</t>
        </is>
      </c>
      <c r="C205" s="3" t="inlineStr">
        <is>
          <t>Azure Service</t>
        </is>
      </c>
      <c r="D205" s="3" t="inlineStr">
        <is>
          <t>APRL</t>
        </is>
      </c>
      <c r="E205" s="3" t="inlineStr">
        <is>
          <t>Microsoft.MachineLearningServices</t>
        </is>
      </c>
      <c r="F205" s="3" t="inlineStr">
        <is>
          <t>workspaces</t>
        </is>
      </c>
      <c r="G205" s="3" t="inlineStr">
        <is>
          <t>DisasterRecovery</t>
        </is>
      </c>
      <c r="H205" s="3" t="inlineStr">
        <is>
          <t>Deploy Azure Machine learning workspace in secondary region</t>
        </is>
      </c>
      <c r="I205" s="3" t="inlineStr">
        <is>
          <t>High</t>
        </is>
      </c>
      <c r="J205" s="3" t="inlineStr">
        <is>
          <t xml:space="preserve">If your primary workspace is unavailable, switch to the secondary workspace to continue work. Azure Machine Learning doesn't auto-submit jobs to the secondary workspace during an outage. Update your code configuration to point to the new workspace resource.
</t>
        </is>
      </c>
      <c r="K205" s="3" t="str">
        <f>HYPERLINK("https://learn.microsoft.com/azure/machine-learning/how-to-high-availability-machine-learning?view=azureml-api-2","https://learn.microsoft.com/azure/machine-learning/how-to-high-availability-machine-learning?view=azureml-api-2")</f>
      </c>
      <c r="L205" s="3" t="inlineStr">
        <is>
          <t>675d249a-9486-45e3-8e89-863f5802782d</t>
        </is>
      </c>
    </row>
    <row r="206" s="2" customFormat="1">
      <c r="A206" s="2" t="inlineStr">
        <is>
          <t>N/A</t>
        </is>
      </c>
      <c r="B206" s="2" t="inlineStr">
        <is>
          <t>0</t>
        </is>
      </c>
      <c r="C206" s="2" t="inlineStr">
        <is>
          <t>Azure Service</t>
        </is>
      </c>
      <c r="D206" s="2" t="inlineStr">
        <is>
          <t>APRL</t>
        </is>
      </c>
      <c r="E206" s="2" t="inlineStr">
        <is>
          <t>Microsoft.MachineLearningServices</t>
        </is>
      </c>
      <c r="F206" s="2" t="inlineStr">
        <is>
          <t>workspaces</t>
        </is>
      </c>
      <c r="G206" s="2" t="inlineStr">
        <is>
          <t>ServiceUpgradeAndRetirement</t>
        </is>
      </c>
      <c r="H206" s="2" t="inlineStr">
        <is>
          <t>Avoid NC and NC_Promo series Azure VMs for machine learning quotas; migrate to newer versions</t>
        </is>
      </c>
      <c r="I206" s="2" t="inlineStr">
        <is>
          <t>High</t>
        </is>
      </c>
      <c r="J206" s="2" t="inlineStr">
        <is>
          <t xml:space="preserve">Avoid selecting NC and NC_Promo series Azure virtual machines for machine learning VM quotas and make sure to migrate to newer versions.
</t>
        </is>
      </c>
      <c r="K206" s="2" t="str">
        <f>HYPERLINK("https://learn.microsoft.com/azure/virtual-machines/n-series-migration","https://learn.microsoft.com/azure/virtual-machines/n-series-migration")</f>
      </c>
      <c r="L206" s="2" t="inlineStr">
        <is>
          <t>cf2569bb-1cf2-46ce-8885-d742dc6f4a4c</t>
        </is>
      </c>
    </row>
    <row r="207" s="3" customFormat="1">
      <c r="A207" s="3" t="inlineStr">
        <is>
          <t>N/A</t>
        </is>
      </c>
      <c r="B207" s="3" t="inlineStr">
        <is>
          <t>0</t>
        </is>
      </c>
      <c r="C207" s="3" t="inlineStr">
        <is>
          <t>Azure Service</t>
        </is>
      </c>
      <c r="D207" s="3" t="inlineStr">
        <is>
          <t>APRL</t>
        </is>
      </c>
      <c r="E207" s="3" t="inlineStr">
        <is>
          <t>Microsoft.MachineLearningServices</t>
        </is>
      </c>
      <c r="F207" s="3" t="inlineStr">
        <is>
          <t>workspaces</t>
        </is>
      </c>
      <c r="G207" s="3" t="inlineStr">
        <is>
          <t>DisasterRecovery</t>
        </is>
      </c>
      <c r="H207" s="3" t="inlineStr">
        <is>
          <t>Plan for a multi-regional deployment of Azure Machine Learning and associated resources</t>
        </is>
      </c>
      <c r="I207" s="3" t="inlineStr">
        <is>
          <t>High</t>
        </is>
      </c>
      <c r="J207" s="3" t="inlineStr">
        <is>
          <t xml:space="preserve">Ensure you have a recovery strategy defined. Check regional availability and paired regions. Machine Learning doesn't have auto failover. Therefore, you must design a strategy that encompasses the workspace and all its dependencies, such as Key Vault, Azure Storage, and Container Registry.
</t>
        </is>
      </c>
      <c r="K207" s="3" t="str">
        <f>HYPERLINK("https://learn.microsoft.com/azure/machine-learning/how-to-high-availability-machine-learning?view=azureml-api-2","https://learn.microsoft.com/azure/machine-learning/how-to-high-availability-machine-learning?view=azureml-api-2")</f>
      </c>
      <c r="L207" s="3" t="inlineStr">
        <is>
          <t>a86ed26a-59d9-47bd-b440-6bc71b843978</t>
        </is>
      </c>
    </row>
    <row r="208" s="2" customFormat="1">
      <c r="A208" s="2" t="inlineStr">
        <is>
          <t>N/A</t>
        </is>
      </c>
      <c r="B208" s="2" t="inlineStr">
        <is>
          <t>0</t>
        </is>
      </c>
      <c r="C208" s="2" t="inlineStr">
        <is>
          <t>Azure Service</t>
        </is>
      </c>
      <c r="D208" s="2" t="inlineStr">
        <is>
          <t>APRL</t>
        </is>
      </c>
      <c r="E208" s="2" t="inlineStr">
        <is>
          <t>Microsoft.MachineLearningServices</t>
        </is>
      </c>
      <c r="F208" s="2" t="inlineStr">
        <is>
          <t>workspaces</t>
        </is>
      </c>
      <c r="G208" s="2" t="inlineStr">
        <is>
          <t>DisasterRecovery</t>
        </is>
      </c>
      <c r="H208" s="2" t="inlineStr">
        <is>
          <t>Ensure to create Machine Learning Compute resources in secondary region</t>
        </is>
      </c>
      <c r="I208" s="2" t="inlineStr">
        <is>
          <t>High</t>
        </is>
      </c>
      <c r="J208" s="2" t="inlineStr">
        <is>
          <t xml:space="preserve">Create compute resources for training a Machine Learning model in selected regions. Ensure both regions have sufficient compute quota for dynamic scaling. Customers must configure HA across zones for attached compute resources like AKS, Azure Databricks, Container Instances.
</t>
        </is>
      </c>
      <c r="K208" s="2" t="str">
        <f>HYPERLINK("https://learn.microsoft.com/azure/machine-learning/how-to-high-availability-machine-learning?view=azureml-api-2","https://learn.microsoft.com/azure/machine-learning/how-to-high-availability-machine-learning?view=azureml-api-2")</f>
      </c>
      <c r="L208" s="2" t="inlineStr">
        <is>
          <t>13794a63-8d95-47ce-acbd-5925ede5b208</t>
        </is>
      </c>
    </row>
    <row r="209" s="3" customFormat="1">
      <c r="A209" s="3" t="inlineStr">
        <is>
          <t>N/A</t>
        </is>
      </c>
      <c r="B209" s="3" t="inlineStr">
        <is>
          <t>0</t>
        </is>
      </c>
      <c r="C209" s="3" t="inlineStr">
        <is>
          <t>Azure Service</t>
        </is>
      </c>
      <c r="D209" s="3" t="inlineStr">
        <is>
          <t>AZQR</t>
        </is>
      </c>
      <c r="E209" s="3" t="inlineStr">
        <is>
          <t>Microsoft.MachineLearningServices</t>
        </is>
      </c>
      <c r="F209" s="3" t="inlineStr">
        <is>
          <t>workspaces</t>
        </is>
      </c>
      <c r="G209" s="3" t="inlineStr">
        <is>
          <t>Security</t>
        </is>
      </c>
      <c r="H209" s="3" t="inlineStr">
        <is>
          <t>Service should have private enpoints enabled</t>
        </is>
      </c>
      <c r="I209" s="3" t="inlineStr">
        <is>
          <t>High</t>
        </is>
      </c>
      <c r="J209" s="3" t="inlineStr">
        <is>
          <t>Service should have private enpoints enabled</t>
        </is>
      </c>
      <c r="K209" s="3" t="str">
        <f>HYPERLINK("https://learn.microsoft.com/azure/machine-learning/how-to-configure-private-link","https://learn.microsoft.com/azure/machine-learning/how-to-configure-private-link")</f>
      </c>
      <c r="L209" s="3" t="inlineStr">
        <is>
          <t>hub-005</t>
        </is>
      </c>
    </row>
    <row r="210" s="2" customFormat="1">
      <c r="A210" s="2" t="inlineStr">
        <is>
          <t>N/A</t>
        </is>
      </c>
      <c r="B210" s="2" t="inlineStr">
        <is>
          <t>0</t>
        </is>
      </c>
      <c r="C210" s="2" t="inlineStr">
        <is>
          <t>Azure Service</t>
        </is>
      </c>
      <c r="D210" s="2" t="inlineStr">
        <is>
          <t>APRL</t>
        </is>
      </c>
      <c r="E210" s="2" t="inlineStr">
        <is>
          <t>Microsoft.MachineLearningServices</t>
        </is>
      </c>
      <c r="F210" s="2" t="inlineStr">
        <is>
          <t>workspaces</t>
        </is>
      </c>
      <c r="G210" s="2" t="inlineStr">
        <is>
          <t>DisasterRecovery</t>
        </is>
      </c>
      <c r="H210" s="2" t="inlineStr">
        <is>
          <t>Ensure checkpoints are used for AI training models</t>
        </is>
      </c>
      <c r="I210" s="2" t="inlineStr">
        <is>
          <t>High</t>
        </is>
      </c>
      <c r="J210" s="2" t="inlineStr">
        <is>
          <t xml:space="preserve">Checkpoint optimization for large model training is crucial for disaster recovery. It reduces training time, increases reliability, improves cost efficiency, enhances resource utilization, and supports scalability by saving model states periodically to resume training from the last saved point.
</t>
        </is>
      </c>
      <c r="K210" s="2" t="str">
        <f>HYPERLINK("https://learn.microsoft.com/azure/machine-learning/reference-checkpoint-performance-for-large-models?view=azureml-api-2&amp;tabs=PYTORCH#why-checkpoint-optimization-for-large-model-training-matters","https://learn.microsoft.com/azure/machine-learning/reference-checkpoint-performance-for-large-models?view=azureml-api-2&amp;tabs=PYTORCH#why-checkpoint-optimization-for-large-model-training-matters")</f>
      </c>
      <c r="L210" s="2" t="inlineStr">
        <is>
          <t>98f15850-f31e-4fb2-8874-74f5aabbcf91</t>
        </is>
      </c>
    </row>
    <row r="211" s="3" customFormat="1">
      <c r="A211" s="3" t="inlineStr">
        <is>
          <t>N/A</t>
        </is>
      </c>
      <c r="B211" s="3" t="inlineStr">
        <is>
          <t>0</t>
        </is>
      </c>
      <c r="C211" s="3" t="inlineStr">
        <is>
          <t>Azure Service</t>
        </is>
      </c>
      <c r="D211" s="3" t="inlineStr">
        <is>
          <t>APRL</t>
        </is>
      </c>
      <c r="E211" s="3" t="inlineStr">
        <is>
          <t>Oracle.Database</t>
        </is>
      </c>
      <c r="F211" s="3" t="inlineStr">
        <is>
          <t>cloudExadataInfrastructures</t>
        </is>
      </c>
      <c r="G211" s="3" t="inlineStr">
        <is>
          <t>OtherBestPractices</t>
        </is>
      </c>
      <c r="H211" s="3" t="inlineStr">
        <is>
          <t>Ensure ODAA infrastructure is in Available state under normal operations</t>
        </is>
      </c>
      <c r="I211" s="3" t="inlineStr">
        <is>
          <t>High</t>
        </is>
      </c>
      <c r="J211" s="3" t="inlineStr">
        <is>
          <t xml:space="preserve">ODAA Exadata infrastructures can be in a number of states during its lifecycle (Available, Failed, Maintenance In Progress, Provisioning, Terminated, Terminating and Updating).
Ensure that the infrastructure is in Available state under normal operations.
</t>
        </is>
      </c>
      <c r="K211" s="3" t="str">
        <f>HYPERLINK("https://learn.microsoft.com/rest/api/oracle/cloud-exadata-infrastructures/get?view=rest-oracle-2023-09-01&amp;tabs=HTTP#cloudexadatainfrastructurelifecyclestate","https://learn.microsoft.com/rest/api/oracle/cloud-exadata-infrastructures/get?view=rest-oracle-2023-09-01&amp;tabs=HTTP#cloudexadatainfrastructurelifecyclestate")</f>
      </c>
      <c r="L211" s="3" t="inlineStr">
        <is>
          <t>c99d730b-8754-447f-bd5d-3e8850a12235</t>
        </is>
      </c>
    </row>
    <row r="212" s="2" customFormat="1">
      <c r="A212" s="2" t="inlineStr">
        <is>
          <t>true</t>
        </is>
      </c>
      <c r="B212" s="2" t="inlineStr">
        <is>
          <t>0</t>
        </is>
      </c>
      <c r="C212" s="2" t="inlineStr">
        <is>
          <t>Azure Service</t>
        </is>
      </c>
      <c r="D212" s="2" t="inlineStr">
        <is>
          <t>APRL</t>
        </is>
      </c>
      <c r="E212" s="2" t="inlineStr">
        <is>
          <t>Microsoft.Network</t>
        </is>
      </c>
      <c r="F212" s="2" t="inlineStr">
        <is>
          <t>privateEndpoints</t>
        </is>
      </c>
      <c r="G212" s="2" t="inlineStr">
        <is>
          <t>HighAvailability</t>
        </is>
      </c>
      <c r="H212" s="2" t="inlineStr">
        <is>
          <t>Resolve issues with Private Endpoints in non Succeeded connection state</t>
        </is>
      </c>
      <c r="I212" s="2" t="inlineStr">
        <is>
          <t>Medium</t>
        </is>
      </c>
      <c r="J212" s="2" t="inlineStr">
        <is>
          <t xml:space="preserve">A private endpoint has two custom properties, static IP address and the network interface name, which must be set at creation. If not in Succeeded state, there may be issues with the endpoint or associated resource.
</t>
        </is>
      </c>
      <c r="K212" s="2" t="str">
        <f>HYPERLINK("https://learn.microsoft.com/azure/private-link/manage-private-endpoint?tabs=manage-private-link-powershell#private-endpoint-connections","https://learn.microsoft.com/azure/private-link/manage-private-endpoint?tabs=manage-private-link-powershell#private-endpoint-connections")</f>
      </c>
      <c r="L212" s="2" t="inlineStr">
        <is>
          <t>b89c9acc-0aba-fb44-9ff2-3dbfcf97dce7</t>
        </is>
      </c>
    </row>
    <row r="213" s="3" customFormat="1">
      <c r="A213" s="3" t="inlineStr">
        <is>
          <t>true</t>
        </is>
      </c>
      <c r="B213" s="3" t="inlineStr">
        <is>
          <t>0</t>
        </is>
      </c>
      <c r="C213" s="3" t="inlineStr">
        <is>
          <t>Azure Service</t>
        </is>
      </c>
      <c r="D213" s="3" t="inlineStr">
        <is>
          <t>AOR</t>
        </is>
      </c>
      <c r="E213" s="3" t="inlineStr">
        <is>
          <t>Microsoft.Network</t>
        </is>
      </c>
      <c r="F213" s="3" t="inlineStr">
        <is>
          <t>privateEndpoints</t>
        </is>
      </c>
      <c r="G213" s="3" t="inlineStr">
        <is>
          <t>Governance</t>
        </is>
      </c>
      <c r="H213" s="3" t="inlineStr">
        <is>
          <t>Private Endpoints not connected to any resource</t>
        </is>
      </c>
      <c r="I213" s="3" t="inlineStr">
        <is>
          <t>Medium</t>
        </is>
      </c>
      <c r="J213" s="3" t="inlineStr">
        <is>
          <t xml:space="preserve">Private Endpoints not connected to any resource.
</t>
        </is>
      </c>
      <c r="K213" s="3" t="str">
        <f>HYPERLINK("https://learn.microsoft.com/en-us/azure/private-link/private-endpoint-overview","https://learn.microsoft.com/en-us/azure/private-link/private-endpoint-overview")</f>
      </c>
      <c r="L213" s="3" t="inlineStr">
        <is>
          <t>8f9a0b1c-2d3e-4f5a-6b7c-8d9e0f1a2b3c</t>
        </is>
      </c>
    </row>
    <row r="214" s="2" customFormat="1">
      <c r="A214" s="2" t="inlineStr">
        <is>
          <t>N/A</t>
        </is>
      </c>
      <c r="B214" s="2" t="inlineStr">
        <is>
          <t>0</t>
        </is>
      </c>
      <c r="C214" s="2" t="inlineStr">
        <is>
          <t>Azure Service</t>
        </is>
      </c>
      <c r="D214" s="2" t="inlineStr">
        <is>
          <t>APRL</t>
        </is>
      </c>
      <c r="E214" s="2" t="inlineStr">
        <is>
          <t>Microsoft.RecoveryServices</t>
        </is>
      </c>
      <c r="F214" s="2" t="inlineStr">
        <is>
          <t>vaults</t>
        </is>
      </c>
      <c r="G214" s="2" t="inlineStr">
        <is>
          <t>DisasterRecovery</t>
        </is>
      </c>
      <c r="H214" s="2" t="inlineStr">
        <is>
          <t>Enable Soft Delete for Recovery Services Vaults in Azure Backup</t>
        </is>
      </c>
      <c r="I214" s="2" t="inlineStr">
        <is>
          <t>Medium</t>
        </is>
      </c>
      <c r="J214" s="2" t="inlineStr">
        <is>
          <t xml:space="preserve">With soft delete, if backup data is deleted, the backup data is retained for 14 additional days, allowing the recovery of that backup item with no data loss with no cost to you. Soft delete is enabled by default. Disabling this feature isn't recommended.
</t>
        </is>
      </c>
      <c r="K214" s="2" t="str">
        <f>HYPERLINK("https://learn.microsoft.com/azure/backup/backup-azure-security-feature-cloud?tabs=azure-portal","https://learn.microsoft.com/azure/backup/backup-azure-security-feature-cloud?tabs=azure-portal")</f>
      </c>
      <c r="L214" s="2" t="inlineStr">
        <is>
          <t>9e39919b-78af-4a0b-b70f-c548dae97c25</t>
        </is>
      </c>
    </row>
    <row r="215" s="3" customFormat="1">
      <c r="A215" s="3" t="inlineStr">
        <is>
          <t>N/A</t>
        </is>
      </c>
      <c r="B215" s="3" t="inlineStr">
        <is>
          <t>0</t>
        </is>
      </c>
      <c r="C215" s="3" t="inlineStr">
        <is>
          <t>Azure Service</t>
        </is>
      </c>
      <c r="D215" s="3" t="inlineStr">
        <is>
          <t>APRL</t>
        </is>
      </c>
      <c r="E215" s="3" t="inlineStr">
        <is>
          <t>Microsoft.RecoveryServices</t>
        </is>
      </c>
      <c r="F215" s="3" t="inlineStr">
        <is>
          <t>vaults</t>
        </is>
      </c>
      <c r="G215" s="3" t="inlineStr">
        <is>
          <t>MonitoringAndAlerting</t>
        </is>
      </c>
      <c r="H215" s="3" t="inlineStr">
        <is>
          <t>Migrate from classic alerts to built-in Azure Monitor alerts for Azure Recovery Services Vaults</t>
        </is>
      </c>
      <c r="I215" s="3" t="inlineStr">
        <is>
          <t>Medium</t>
        </is>
      </c>
      <c r="J215" s="3" t="inlineStr">
        <is>
          <t xml:space="preserve">Classic alerts for Recovery Services vaults in Azure Backup will be retired on 31 March 2026.
</t>
        </is>
      </c>
      <c r="K215" s="3" t="str">
        <f>HYPERLINK("https://learn.microsoft.com/azure/backup/move-to-azure-monitor-alerts","https://learn.microsoft.com/azure/backup/move-to-azure-monitor-alerts")</f>
      </c>
      <c r="L215" s="3" t="inlineStr">
        <is>
          <t>2912472d-0198-4bdc-aa90-37f145790edc</t>
        </is>
      </c>
    </row>
    <row r="216" s="2" customFormat="1">
      <c r="A216" s="2" t="inlineStr">
        <is>
          <t>N/A</t>
        </is>
      </c>
      <c r="B216" s="2" t="inlineStr">
        <is>
          <t>0</t>
        </is>
      </c>
      <c r="C216" s="2" t="inlineStr">
        <is>
          <t>Azure Service</t>
        </is>
      </c>
      <c r="D216" s="2" t="inlineStr">
        <is>
          <t>APRL</t>
        </is>
      </c>
      <c r="E216" s="2" t="inlineStr">
        <is>
          <t>Microsoft.RecoveryServices</t>
        </is>
      </c>
      <c r="F216" s="2" t="inlineStr">
        <is>
          <t>vaults</t>
        </is>
      </c>
      <c r="G216" s="2" t="inlineStr">
        <is>
          <t>DisasterRecovery</t>
        </is>
      </c>
      <c r="H216" s="2" t="inlineStr">
        <is>
          <t>Enable Cross Region Restore for your GRS Recovery Services Vault</t>
        </is>
      </c>
      <c r="I216" s="2" t="inlineStr">
        <is>
          <t>Medium</t>
        </is>
      </c>
      <c r="J216" s="2" t="inlineStr">
        <is>
          <t xml:space="preserve">Cross Region Restore enables the restoration of Azure VMs in a secondary, Azure paired region, facilitating drills for audit or compliance and allowing recovery of VMs or disks in the event of a primary region disaster. It is an opt-in feature available exclusively for GRS vaults.
</t>
        </is>
      </c>
      <c r="K216" s="2" t="str">
        <f>HYPERLINK("https://learn.microsoft.com/azure/backup/backup-create-recovery-services-vault#set-cross-region-restore","https://learn.microsoft.com/azure/backup/backup-create-recovery-services-vault#set-cross-region-restore")</f>
      </c>
      <c r="L216" s="2" t="inlineStr">
        <is>
          <t>1549b91f-2ea0-4d4f-ba2a-4596becbe3de</t>
        </is>
      </c>
    </row>
    <row r="217" s="3" customFormat="1">
      <c r="A217" s="3" t="inlineStr">
        <is>
          <t>N/A</t>
        </is>
      </c>
      <c r="B217" s="3" t="inlineStr">
        <is>
          <t>0</t>
        </is>
      </c>
      <c r="C217" s="3" t="inlineStr">
        <is>
          <t>Azure Service</t>
        </is>
      </c>
      <c r="D217" s="3" t="inlineStr">
        <is>
          <t>APRL</t>
        </is>
      </c>
      <c r="E217" s="3" t="inlineStr">
        <is>
          <t>Microsoft.Network</t>
        </is>
      </c>
      <c r="F217" s="3" t="inlineStr">
        <is>
          <t>routeTables</t>
        </is>
      </c>
      <c r="G217" s="3" t="inlineStr">
        <is>
          <t>MonitoringAndAlerting</t>
        </is>
      </c>
      <c r="H217" s="3" t="inlineStr">
        <is>
          <t>Monitor changes in Route Tables with Azure Monitor</t>
        </is>
      </c>
      <c r="I217" s="3" t="inlineStr">
        <is>
          <t>Medium</t>
        </is>
      </c>
      <c r="J217" s="3" t="inlineStr">
        <is>
          <t xml:space="preserve">Create Alerts with Azure Monitor for operations like Create or Update Route Table to spot unauthorized/undesired changes in production resources. This setup aids in identifying improper routing changes, including efforts to evade firewalls or access resources from outside.
</t>
        </is>
      </c>
      <c r="K217" s="3" t="str">
        <f>HYPERLINK("https://learn.microsoft.com/azure/azure-monitor/essentials/activity-log?tabs=powershell","https://learn.microsoft.com/azure/azure-monitor/essentials/activity-log?tabs=powershell")</f>
      </c>
      <c r="L217" s="3" t="inlineStr">
        <is>
          <t>23b2dfc7-7e5d-9443-9f62-980ca621b561</t>
        </is>
      </c>
    </row>
    <row r="218" s="2" customFormat="1">
      <c r="A218" s="2" t="inlineStr">
        <is>
          <t>N/A</t>
        </is>
      </c>
      <c r="B218" s="2" t="inlineStr">
        <is>
          <t>0</t>
        </is>
      </c>
      <c r="C218" s="2" t="inlineStr">
        <is>
          <t>Azure Service</t>
        </is>
      </c>
      <c r="D218" s="2" t="inlineStr">
        <is>
          <t>AOR</t>
        </is>
      </c>
      <c r="E218" s="2" t="inlineStr">
        <is>
          <t>Microsoft.Network</t>
        </is>
      </c>
      <c r="F218" s="2" t="inlineStr">
        <is>
          <t>routeTables</t>
        </is>
      </c>
      <c r="G218" s="2" t="inlineStr">
        <is>
          <t>Governance</t>
        </is>
      </c>
      <c r="H218" s="2" t="inlineStr">
        <is>
          <t>Route Tables not attached to any subnet</t>
        </is>
      </c>
      <c r="I218" s="2" t="inlineStr">
        <is>
          <t>Medium</t>
        </is>
      </c>
      <c r="J218" s="2" t="inlineStr">
        <is>
          <t xml:space="preserve">Route Tables not attached to any subnet.
</t>
        </is>
      </c>
      <c r="K218" s="2" t="str">
        <f>HYPERLINK("https://learn.microsoft.com/en-us/azure/virtual-network/virtual-networks-udr-overview","https://learn.microsoft.com/en-us/azure/virtual-network/virtual-networks-udr-overview")</f>
      </c>
      <c r="L218" s="2" t="inlineStr">
        <is>
          <t>8b9c0d1e-2f3a-4b5c-6d7e-8f9a0b1c2d3e</t>
        </is>
      </c>
    </row>
    <row r="219" s="3" customFormat="1">
      <c r="A219" s="3" t="inlineStr">
        <is>
          <t>N/A</t>
        </is>
      </c>
      <c r="B219" s="3" t="inlineStr">
        <is>
          <t>0</t>
        </is>
      </c>
      <c r="C219" s="3" t="inlineStr">
        <is>
          <t>Azure Service</t>
        </is>
      </c>
      <c r="D219" s="3" t="inlineStr">
        <is>
          <t>APRL</t>
        </is>
      </c>
      <c r="E219" s="3" t="inlineStr">
        <is>
          <t>Microsoft.Sql</t>
        </is>
      </c>
      <c r="F219" s="3" t="inlineStr">
        <is>
          <t>managedInstances</t>
        </is>
      </c>
      <c r="G219" s="3" t="inlineStr">
        <is>
          <t>HighAvailability</t>
        </is>
      </c>
      <c r="H219" s="3" t="inlineStr">
        <is>
          <t>Enable zone redundancy for Azure SQL Managed Instance to improve high availability and resiliency</t>
        </is>
      </c>
      <c r="I219" s="3" t="inlineStr">
        <is>
          <t>High</t>
        </is>
      </c>
      <c r="J219" s="3" t="inlineStr">
        <is>
          <t xml:space="preserve">Azure SQL Managed Instance offers built-in availability by deploying multiple replicas in the same zone. For higher availability, use a zone-redundant configuration that spreads replicas across three Azure availability zones, each with independent power, cooling, and networking.
</t>
        </is>
      </c>
      <c r="K219" s="3" t="str">
        <f>HYPERLINK("https://learn.microsoft.com/azure/azure-sql/managed-instance/high-availability-sla-local-zone-redundancy?view=azuresql-mi#zone-redundant-availability","https://learn.microsoft.com/azure/azure-sql/managed-instance/high-availability-sla-local-zone-redundancy?view=azuresql-mi#zone-redundant-availability")</f>
      </c>
      <c r="L219" s="3" t="inlineStr">
        <is>
          <t>f8f834a9-c761-4e84-b2cb-ac55494d0c37</t>
        </is>
      </c>
    </row>
    <row r="220" s="2" customFormat="1">
      <c r="A220" s="2" t="inlineStr">
        <is>
          <t>N/A</t>
        </is>
      </c>
      <c r="B220" s="2" t="inlineStr">
        <is>
          <t>0</t>
        </is>
      </c>
      <c r="C220" s="2" t="inlineStr">
        <is>
          <t>Azure Service</t>
        </is>
      </c>
      <c r="D220" s="2" t="inlineStr">
        <is>
          <t>APRL</t>
        </is>
      </c>
      <c r="E220" s="2" t="inlineStr">
        <is>
          <t>Microsoft.Sql</t>
        </is>
      </c>
      <c r="F220" s="2" t="inlineStr">
        <is>
          <t>managedInstances</t>
        </is>
      </c>
      <c r="G220" s="2" t="inlineStr">
        <is>
          <t>DisasterRecovery</t>
        </is>
      </c>
      <c r="H220" s="2" t="inlineStr">
        <is>
          <t>Use Zone-redundant or Geo-zone-redundant Backup storage redundancy</t>
        </is>
      </c>
      <c r="I220" s="2" t="inlineStr">
        <is>
          <t>High</t>
        </is>
      </c>
      <c r="J220" s="2" t="inlineStr">
        <is>
          <t xml:space="preserve">Configuring zone redundancy option for backups copies your backup file synchronously across three Azure availability zones in the primary region. If Geo is selected, then it copies your data asynchronously three times to a single physical location in the paired secondary region.
</t>
        </is>
      </c>
      <c r="K220" s="2" t="str">
        <f>HYPERLINK("https://learn.microsoft.com/azure/azure-sql/managed-instance/automated-backups-overview?view=azuresql-mi&amp;preserve-view=true#backup-storage-redundancy","https://learn.microsoft.com/azure/azure-sql/managed-instance/automated-backups-overview?view=azuresql-mi&amp;preserve-view=true#backup-storage-redundancy")</f>
      </c>
      <c r="L220" s="2" t="inlineStr">
        <is>
          <t>15e2712c-f3ea-4a8d-9081-11e822b1ccfb</t>
        </is>
      </c>
    </row>
    <row r="221" s="3" customFormat="1">
      <c r="A221" s="3" t="inlineStr">
        <is>
          <t>N/A</t>
        </is>
      </c>
      <c r="B221" s="3" t="inlineStr">
        <is>
          <t>0</t>
        </is>
      </c>
      <c r="C221" s="3" t="inlineStr">
        <is>
          <t>Azure Service</t>
        </is>
      </c>
      <c r="D221" s="3" t="inlineStr">
        <is>
          <t>APRL</t>
        </is>
      </c>
      <c r="E221" s="3" t="inlineStr">
        <is>
          <t>Microsoft.Sql</t>
        </is>
      </c>
      <c r="F221" s="3" t="inlineStr">
        <is>
          <t>managedInstances</t>
        </is>
      </c>
      <c r="G221" s="3" t="inlineStr">
        <is>
          <t>Scalability</t>
        </is>
      </c>
      <c r="H221" s="3" t="inlineStr">
        <is>
          <t>Use Redirect connection type to accelerate application access</t>
        </is>
      </c>
      <c r="I221" s="3" t="inlineStr">
        <is>
          <t>Medium</t>
        </is>
      </c>
      <c r="J221" s="3" t="inlineStr">
        <is>
          <t xml:space="preserve">Redirect mode enables direct connectivity to the instance bypassing the local gateway component and resulting in improved latency and throughput. Redirect mode applies to the VNet-local endpoint only, while the public and private endpoint will always operate in Proxy connection mode.
</t>
        </is>
      </c>
      <c r="K221" s="3" t="str">
        <f>HYPERLINK("https://learn.microsoft.com/azure/azure-sql/managed-instance/connection-types-overview?view=azuresql#connection-types","https://learn.microsoft.com/azure/azure-sql/managed-instance/connection-types-overview?view=azuresql#connection-types")</f>
      </c>
      <c r="L221" s="3" t="inlineStr">
        <is>
          <t>c14de326-2729-4be7-a91f-4ea185d24b10</t>
        </is>
      </c>
    </row>
    <row r="222" s="2" customFormat="1">
      <c r="A222" s="2" t="inlineStr">
        <is>
          <t>N/A</t>
        </is>
      </c>
      <c r="B222" s="2" t="inlineStr">
        <is>
          <t>0</t>
        </is>
      </c>
      <c r="C222" s="2" t="inlineStr">
        <is>
          <t>Azure Service</t>
        </is>
      </c>
      <c r="D222" s="2" t="inlineStr">
        <is>
          <t>APRL</t>
        </is>
      </c>
      <c r="E222" s="2" t="inlineStr">
        <is>
          <t>Microsoft.Search</t>
        </is>
      </c>
      <c r="F222" s="2" t="inlineStr">
        <is>
          <t>searchServices</t>
        </is>
      </c>
      <c r="G222" s="2" t="inlineStr">
        <is>
          <t>HighAvailability</t>
        </is>
      </c>
      <c r="H222" s="2" t="inlineStr">
        <is>
          <t>Enable AZ support in AI Search by configuring multiple replicas to your search service</t>
        </is>
      </c>
      <c r="I222" s="2" t="inlineStr">
        <is>
          <t>High</t>
        </is>
      </c>
      <c r="J222" s="2" t="inlineStr">
        <is>
          <t xml:space="preserve">Availability zones are used when adding multiple replicas to your search service. Each replica is assigned to a different zone in the region. If there are more replicas than zones, they are distributed as evenly as possible across the available zones.
</t>
        </is>
      </c>
      <c r="K222" s="2" t="str">
        <f>HYPERLINK("https://learn.microsoft.com/azure/search/search-reliability#availability-zone-support","https://learn.microsoft.com/azure/search/search-reliability#availability-zone-support")</f>
      </c>
      <c r="L222" s="2" t="inlineStr">
        <is>
          <t>b376281d-bfec-4695-8f90-9a44544fdfa4</t>
        </is>
      </c>
    </row>
    <row r="223" s="3" customFormat="1">
      <c r="A223" s="3" t="inlineStr">
        <is>
          <t>N/A</t>
        </is>
      </c>
      <c r="B223" s="3" t="inlineStr">
        <is>
          <t>0</t>
        </is>
      </c>
      <c r="C223" s="3" t="inlineStr">
        <is>
          <t>Azure Service</t>
        </is>
      </c>
      <c r="D223" s="3" t="inlineStr">
        <is>
          <t>AZQR</t>
        </is>
      </c>
      <c r="E223" s="3" t="inlineStr">
        <is>
          <t>Microsoft.Search</t>
        </is>
      </c>
      <c r="F223" s="3" t="inlineStr">
        <is>
          <t>searchServices</t>
        </is>
      </c>
      <c r="G223" s="3" t="inlineStr">
        <is>
          <t>Security</t>
        </is>
      </c>
      <c r="H223" s="3" t="inlineStr">
        <is>
          <t>Azure AI Search should disable public network access</t>
        </is>
      </c>
      <c r="I223" s="3" t="inlineStr">
        <is>
          <t>High</t>
        </is>
      </c>
      <c r="J223" s="3" t="inlineStr">
        <is>
          <t>Azure AI Search should disable public network access</t>
        </is>
      </c>
      <c r="K223" s="3" t="str">
        <f>HYPERLINK("https://learn.microsoft.com/azure/search/service-configure-firewall","https://learn.microsoft.com/azure/search/service-configure-firewall")</f>
      </c>
      <c r="L223" s="3" t="inlineStr">
        <is>
          <t>srch-004</t>
        </is>
      </c>
    </row>
    <row r="224" s="2" customFormat="1">
      <c r="A224" s="2" t="inlineStr">
        <is>
          <t>N/A</t>
        </is>
      </c>
      <c r="B224" s="2" t="inlineStr">
        <is>
          <t>0</t>
        </is>
      </c>
      <c r="C224" s="2" t="inlineStr">
        <is>
          <t>Azure Service</t>
        </is>
      </c>
      <c r="D224" s="2" t="inlineStr">
        <is>
          <t>AZQR</t>
        </is>
      </c>
      <c r="E224" s="2" t="inlineStr">
        <is>
          <t>Microsoft.Search</t>
        </is>
      </c>
      <c r="F224" s="2" t="inlineStr">
        <is>
          <t>searchServices</t>
        </is>
      </c>
      <c r="G224" s="2" t="inlineStr">
        <is>
          <t>Security</t>
        </is>
      </c>
      <c r="H224" s="2" t="inlineStr">
        <is>
          <t>Azure AI Search should have private enpoints enabled</t>
        </is>
      </c>
      <c r="I224" s="2" t="inlineStr">
        <is>
          <t>High</t>
        </is>
      </c>
      <c r="J224" s="2" t="inlineStr">
        <is>
          <t>Azure AI Search should have private enpoints enabled</t>
        </is>
      </c>
      <c r="K224" s="2" t="str">
        <f>HYPERLINK("https://learn.microsoft.com/azure/search/service-create-private-endpoint","https://learn.microsoft.com/azure/search/service-create-private-endpoint")</f>
      </c>
      <c r="L224" s="2" t="inlineStr">
        <is>
          <t>srch-005</t>
        </is>
      </c>
    </row>
    <row r="225" s="3" customFormat="1">
      <c r="A225" s="3" t="inlineStr">
        <is>
          <t>N/A</t>
        </is>
      </c>
      <c r="B225" s="3" t="inlineStr">
        <is>
          <t>0</t>
        </is>
      </c>
      <c r="C225" s="3" t="inlineStr">
        <is>
          <t>Azure Service</t>
        </is>
      </c>
      <c r="D225" s="3" t="inlineStr">
        <is>
          <t>AZQR</t>
        </is>
      </c>
      <c r="E225" s="3" t="inlineStr">
        <is>
          <t>microsoft.search</t>
        </is>
      </c>
      <c r="F225" s="3" t="inlineStr">
        <is>
          <t>searchservices</t>
        </is>
      </c>
      <c r="G225" s="3" t="inlineStr">
        <is>
          <t>MonitoringAndAlerting</t>
        </is>
      </c>
      <c r="H225" s="3" t="inlineStr">
        <is>
          <t>Azure AI Search should have diagnostic settings enabled</t>
        </is>
      </c>
      <c r="I225" s="3" t="inlineStr">
        <is>
          <t>Low</t>
        </is>
      </c>
      <c r="J225" s="3" t="inlineStr">
        <is>
          <t/>
        </is>
      </c>
      <c r="K225" s="3" t="str">
        <f>HYPERLINK("https://learn.microsoft.com/en-us/azure/search/search-monitor-enable-logging","https://learn.microsoft.com/en-us/azure/search/search-monitor-enable-logging")</f>
      </c>
      <c r="L225" s="3" t="inlineStr">
        <is>
          <t>srch-006</t>
        </is>
      </c>
    </row>
    <row r="226" s="2" customFormat="1">
      <c r="A226" s="2" t="inlineStr">
        <is>
          <t>N/A</t>
        </is>
      </c>
      <c r="B226" s="2" t="inlineStr">
        <is>
          <t>0</t>
        </is>
      </c>
      <c r="C226" s="2" t="inlineStr">
        <is>
          <t>Azure Service</t>
        </is>
      </c>
      <c r="D226" s="2" t="inlineStr">
        <is>
          <t>APRL</t>
        </is>
      </c>
      <c r="E226" s="2" t="inlineStr">
        <is>
          <t>Microsoft.Dashboard</t>
        </is>
      </c>
      <c r="F226" s="2" t="inlineStr">
        <is>
          <t>grafana</t>
        </is>
      </c>
      <c r="G226" s="2" t="inlineStr">
        <is>
          <t>HighAvailability</t>
        </is>
      </c>
      <c r="H226" s="2" t="inlineStr">
        <is>
          <t>Enable zone redundancy in Managed Grafana</t>
        </is>
      </c>
      <c r="I226" s="2" t="inlineStr">
        <is>
          <t>Medium</t>
        </is>
      </c>
      <c r="J226" s="2" t="inlineStr">
        <is>
          <t xml:space="preserve">Managed Grafana Standard tier is hosted on a dedicated set of VMs to provide redundancy. With zone redundancy enabled, VMs are spread across availability zones (AZ). Related resources are also configured for AZ. Zone redundancy can only be enabled when creating the Azure Managed Grafana instance.
</t>
        </is>
      </c>
      <c r="K226" s="2" t="str">
        <f>HYPERLINK("https://learn.microsoft.com/Azure/managed-grafana/how-to-enable-zone-redundancy","https://learn.microsoft.com/Azure/managed-grafana/how-to-enable-zone-redundancy")</f>
      </c>
      <c r="L226" s="2" t="inlineStr">
        <is>
          <t>6cd57b65-ef84-4088-9ada-c0d8de74c2f7</t>
        </is>
      </c>
    </row>
    <row r="227" s="3" customFormat="1">
      <c r="A227" s="3" t="inlineStr">
        <is>
          <t>N/A</t>
        </is>
      </c>
      <c r="B227" s="3" t="inlineStr">
        <is>
          <t>0</t>
        </is>
      </c>
      <c r="C227" s="3" t="inlineStr">
        <is>
          <t>Azure Service</t>
        </is>
      </c>
      <c r="D227" s="3" t="inlineStr">
        <is>
          <t>AZQR</t>
        </is>
      </c>
      <c r="E227" s="3" t="inlineStr">
        <is>
          <t>Microsoft.Dashboard</t>
        </is>
      </c>
      <c r="F227" s="3" t="inlineStr">
        <is>
          <t>grafana</t>
        </is>
      </c>
      <c r="G227" s="3" t="inlineStr">
        <is>
          <t>Security</t>
        </is>
      </c>
      <c r="H227" s="3" t="inlineStr">
        <is>
          <t>Azure Managed Grafana should disable public network access</t>
        </is>
      </c>
      <c r="I227" s="3" t="inlineStr">
        <is>
          <t>High</t>
        </is>
      </c>
      <c r="J227" s="3" t="inlineStr">
        <is>
          <t xml:space="preserve">Azure Managed Grafana should have public network access disabled
to improve security. Use private endpoints or other secure connectivity methods
instead.
</t>
        </is>
      </c>
      <c r="K227" s="3" t="str">
        <f>HYPERLINK("https://learn.microsoft.com/en-us/security/benchmark/azure/baselines/azure-synapse-analytics-security-baseline?toc=%2Fazure%2Fsynapse-analytics%2Ftoc.json","https://learn.microsoft.com/en-us/security/benchmark/azure/baselines/azure-synapse-analytics-security-baseline?toc=%2Fazure%2Fsynapse-analytics%2Ftoc.json")</f>
      </c>
      <c r="L227" s="3" t="inlineStr">
        <is>
          <t>amg-004</t>
        </is>
      </c>
    </row>
    <row r="228" s="2" customFormat="1">
      <c r="A228" s="2" t="inlineStr">
        <is>
          <t>N/A</t>
        </is>
      </c>
      <c r="B228" s="2" t="inlineStr">
        <is>
          <t>0</t>
        </is>
      </c>
      <c r="C228" s="2" t="inlineStr">
        <is>
          <t>Azure Service</t>
        </is>
      </c>
      <c r="D228" s="2" t="inlineStr">
        <is>
          <t>AZQR</t>
        </is>
      </c>
      <c r="E228" s="2" t="inlineStr">
        <is>
          <t>Microsoft.Dashboard</t>
        </is>
      </c>
      <c r="F228" s="2" t="inlineStr">
        <is>
          <t>grafana</t>
        </is>
      </c>
      <c r="G228" s="2" t="inlineStr">
        <is>
          <t>HighAvailability</t>
        </is>
      </c>
      <c r="H228" s="2" t="inlineStr">
        <is>
          <t>Azure Managed Grafana should have availability zones enabled</t>
        </is>
      </c>
      <c r="I228" s="2" t="inlineStr">
        <is>
          <t>High</t>
        </is>
      </c>
      <c r="J228" s="2" t="inlineStr">
        <is>
          <t xml:space="preserve">Azure Managed Grafana should have zone redundancy enabled to ensure
high availability. Zone redundancy provides automatic replication across availability
zones for better resilience.
</t>
        </is>
      </c>
      <c r="K228" s="2" t="str">
        <f>HYPERLINK("https://learn.microsoft.com/en-us/azure/managed-grafana/high-availability","https://learn.microsoft.com/en-us/azure/managed-grafana/high-availability")</f>
      </c>
      <c r="L228" s="2" t="inlineStr">
        <is>
          <t>amg-005</t>
        </is>
      </c>
    </row>
    <row r="229" s="3" customFormat="1">
      <c r="A229" s="3" t="inlineStr">
        <is>
          <t>true</t>
        </is>
      </c>
      <c r="B229" s="3" t="inlineStr">
        <is>
          <t>0</t>
        </is>
      </c>
      <c r="C229" s="3" t="inlineStr">
        <is>
          <t>Azure Service</t>
        </is>
      </c>
      <c r="D229" s="3" t="inlineStr">
        <is>
          <t>AZQR</t>
        </is>
      </c>
      <c r="E229" s="3" t="inlineStr">
        <is>
          <t>Microsoft.AppConfiguration</t>
        </is>
      </c>
      <c r="F229" s="3" t="inlineStr">
        <is>
          <t>configurationStores</t>
        </is>
      </c>
      <c r="G229" s="3" t="inlineStr">
        <is>
          <t>Security</t>
        </is>
      </c>
      <c r="H229" s="3" t="inlineStr">
        <is>
          <t>AppConfiguration should have private endpoints enabled</t>
        </is>
      </c>
      <c r="I229" s="3" t="inlineStr">
        <is>
          <t>High</t>
        </is>
      </c>
      <c r="J229" s="3" t="inlineStr">
        <is>
          <t>AppConfiguration should have private endpoints enabled</t>
        </is>
      </c>
      <c r="K229" s="3" t="str">
        <f>HYPERLINK("https://learn.microsoft.com/azure/azure-app-configuration/concept-private-endpoint","https://learn.microsoft.com/azure/azure-app-configuration/concept-private-endpoint")</f>
      </c>
      <c r="L229" s="3" t="inlineStr">
        <is>
          <t>appcs-004</t>
        </is>
      </c>
    </row>
    <row r="230" s="2" customFormat="1">
      <c r="A230" s="2" t="inlineStr">
        <is>
          <t>false</t>
        </is>
      </c>
      <c r="B230" s="2" t="inlineStr">
        <is>
          <t>1</t>
        </is>
      </c>
      <c r="C230" s="2" t="inlineStr">
        <is>
          <t>Azure Service</t>
        </is>
      </c>
      <c r="D230" s="2" t="inlineStr">
        <is>
          <t>AZQR</t>
        </is>
      </c>
      <c r="E230" s="2" t="inlineStr">
        <is>
          <t>Microsoft.AppConfiguration</t>
        </is>
      </c>
      <c r="F230" s="2" t="inlineStr">
        <is>
          <t>configurationStores</t>
        </is>
      </c>
      <c r="G230" s="2" t="inlineStr">
        <is>
          <t>Security</t>
        </is>
      </c>
      <c r="H230" s="2" t="inlineStr">
        <is>
          <t>AppConfiguration should have local authentication disabled</t>
        </is>
      </c>
      <c r="I230" s="2" t="inlineStr">
        <is>
          <t>Medium</t>
        </is>
      </c>
      <c r="J230" s="2" t="inlineStr">
        <is>
          <t>AppConfiguration should have local authentication disabled</t>
        </is>
      </c>
      <c r="K230" s="2" t="str">
        <f>HYPERLINK("https://learn.microsoft.com/azure/azure-app-configuration/howto-disable-access-key-authentication","https://learn.microsoft.com/azure/azure-app-configuration/howto-disable-access-key-authentication")</f>
      </c>
      <c r="L230" s="2" t="inlineStr">
        <is>
          <t>appcs-008</t>
        </is>
      </c>
    </row>
    <row r="231" s="3" customFormat="1">
      <c r="A231" s="3" t="inlineStr">
        <is>
          <t>true</t>
        </is>
      </c>
      <c r="B231" s="3" t="inlineStr">
        <is>
          <t>0</t>
        </is>
      </c>
      <c r="C231" s="3" t="inlineStr">
        <is>
          <t>Azure Service</t>
        </is>
      </c>
      <c r="D231" s="3" t="inlineStr">
        <is>
          <t>APRL</t>
        </is>
      </c>
      <c r="E231" s="3" t="inlineStr">
        <is>
          <t>Microsoft.AppConfiguration</t>
        </is>
      </c>
      <c r="F231" s="3" t="inlineStr">
        <is>
          <t>configurationStores</t>
        </is>
      </c>
      <c r="G231" s="3" t="inlineStr">
        <is>
          <t>HighAvailability</t>
        </is>
      </c>
      <c r="H231" s="3" t="inlineStr">
        <is>
          <t>Upgrade to App Configuration Standard tier</t>
        </is>
      </c>
      <c r="I231" s="3" t="inlineStr">
        <is>
          <t>High</t>
        </is>
      </c>
      <c r="J231" s="3" t="inlineStr">
        <is>
          <t xml:space="preserve">SLA is not available for Free tier. Upgrade to the Standard tier to get an SLA of 99.9%
</t>
        </is>
      </c>
      <c r="K231" s="3" t="str">
        <f>HYPERLINK("https://learn.microsoft.com/en-us/azure/azure-app-configuration/faq#which-app-configuration-tier-should-i-use","https://learn.microsoft.com/en-us/azure/azure-app-configuration/faq#which-app-configuration-tier-should-i-use")</f>
      </c>
      <c r="L231" s="3" t="inlineStr">
        <is>
          <t>2102a57a-a056-4d5e-afe5-9df9f92177ca</t>
        </is>
      </c>
    </row>
    <row r="232" s="2" customFormat="1">
      <c r="A232" s="2" t="inlineStr">
        <is>
          <t>false</t>
        </is>
      </c>
      <c r="B232" s="2" t="inlineStr">
        <is>
          <t>1</t>
        </is>
      </c>
      <c r="C232" s="2" t="inlineStr">
        <is>
          <t>Azure Service</t>
        </is>
      </c>
      <c r="D232" s="2" t="inlineStr">
        <is>
          <t>APRL</t>
        </is>
      </c>
      <c r="E232" s="2" t="inlineStr">
        <is>
          <t>Microsoft.AppConfiguration</t>
        </is>
      </c>
      <c r="F232" s="2" t="inlineStr">
        <is>
          <t>configurationStores</t>
        </is>
      </c>
      <c r="G232" s="2" t="inlineStr">
        <is>
          <t>OtherBestPractices</t>
        </is>
      </c>
      <c r="H232" s="2" t="inlineStr">
        <is>
          <t>Enable Purge protection for Azure App Configuration</t>
        </is>
      </c>
      <c r="I232" s="2" t="inlineStr">
        <is>
          <t>Low</t>
        </is>
      </c>
      <c r="J232" s="2" t="inlineStr">
        <is>
          <t xml:space="preserve">With Purge protection enabled, soft deleted stores can't be purged in the retention period. If disabled, the soft deleted store can be purged before the retention period expires.
</t>
        </is>
      </c>
      <c r="K232" s="2" t="str">
        <f>HYPERLINK("https://learn.microsoft.com/azure/azure-app-configuration/concept-soft-delete#purge-protection","https://learn.microsoft.com/azure/azure-app-configuration/concept-soft-delete#purge-protection")</f>
      </c>
      <c r="L232" s="2" t="inlineStr">
        <is>
          <t>bb4c8db4-f821-475b-b1ea-16e95358665e</t>
        </is>
      </c>
    </row>
    <row r="233" s="3" customFormat="1">
      <c r="A233" s="3" t="inlineStr">
        <is>
          <t>false</t>
        </is>
      </c>
      <c r="B233" s="3" t="inlineStr">
        <is>
          <t>1</t>
        </is>
      </c>
      <c r="C233" s="3" t="inlineStr">
        <is>
          <t>Azure Service</t>
        </is>
      </c>
      <c r="D233" s="3" t="inlineStr">
        <is>
          <t>AZQR</t>
        </is>
      </c>
      <c r="E233" s="3" t="inlineStr">
        <is>
          <t>microsoft.appconfiguration</t>
        </is>
      </c>
      <c r="F233" s="3" t="inlineStr">
        <is>
          <t>configurationstores</t>
        </is>
      </c>
      <c r="G233" s="3" t="inlineStr">
        <is>
          <t>MonitoringAndAlerting</t>
        </is>
      </c>
      <c r="H233" s="3" t="inlineStr">
        <is>
          <t>AppConfiguration should have diagnostic settings enabled</t>
        </is>
      </c>
      <c r="I233" s="3" t="inlineStr">
        <is>
          <t>Low</t>
        </is>
      </c>
      <c r="J233" s="3" t="inlineStr">
        <is>
          <t/>
        </is>
      </c>
      <c r="K233" s="3" t="str">
        <f>HYPERLINK("https://learn.microsoft.com/en-us/azure/azure-app-configuration/monitor-app-configuration?tabs=portal","https://learn.microsoft.com/en-us/azure/azure-app-configuration/monitor-app-configuration?tabs=portal")</f>
      </c>
      <c r="L233" s="3" t="inlineStr">
        <is>
          <t>appcs-001</t>
        </is>
      </c>
    </row>
    <row r="234" s="2" customFormat="1">
      <c r="A234" s="2" t="inlineStr">
        <is>
          <t>N/A</t>
        </is>
      </c>
      <c r="B234" s="2" t="inlineStr">
        <is>
          <t>0</t>
        </is>
      </c>
      <c r="C234" s="2" t="inlineStr">
        <is>
          <t>Azure Service</t>
        </is>
      </c>
      <c r="D234" s="2" t="inlineStr">
        <is>
          <t>APRL</t>
        </is>
      </c>
      <c r="E234" s="2" t="inlineStr">
        <is>
          <t>Microsoft.AVS</t>
        </is>
      </c>
      <c r="F234" s="2" t="inlineStr">
        <is>
          <t>privateClouds</t>
        </is>
      </c>
      <c r="G234" s="2" t="inlineStr">
        <is>
          <t>MonitoringAndAlerting</t>
        </is>
      </c>
      <c r="H234" s="2" t="inlineStr">
        <is>
          <t>Configure Azure Monitor Alert warning thresholds for vSAN datastore utilization</t>
        </is>
      </c>
      <c r="I234" s="2" t="inlineStr">
        <is>
          <t>High</t>
        </is>
      </c>
      <c r="J234" s="2" t="inlineStr">
        <is>
          <t xml:space="preserve">Ensure VMware vSAN datastore slack space is maintained for SLA by monitoring storage utilization and setting alerts at 70% and 75% utilization to allow for capacity planning. To expand, add hosts or external storage like Azure Elastic SAN, Azure NetApp Files, if CPU and RAM requirements are met.
</t>
        </is>
      </c>
      <c r="K234" s="2" t="str">
        <f>HYPERLINK("https://learn.microsoft.com/azure/azure-vmware/configure-alerts-for-azure-vmware-solution#supported-metrics-and-activities","https://learn.microsoft.com/azure/azure-vmware/configure-alerts-for-azure-vmware-solution#supported-metrics-and-activities")</f>
      </c>
      <c r="L234" s="2" t="inlineStr">
        <is>
          <t>4232eb32-3241-4049-9e14-9b8005817b56</t>
        </is>
      </c>
    </row>
    <row r="235" s="3" customFormat="1">
      <c r="A235" s="3" t="inlineStr">
        <is>
          <t>N/A</t>
        </is>
      </c>
      <c r="B235" s="3" t="inlineStr">
        <is>
          <t>0</t>
        </is>
      </c>
      <c r="C235" s="3" t="inlineStr">
        <is>
          <t>Azure Service</t>
        </is>
      </c>
      <c r="D235" s="3" t="inlineStr">
        <is>
          <t>APRL</t>
        </is>
      </c>
      <c r="E235" s="3" t="inlineStr">
        <is>
          <t>Microsoft.AVS</t>
        </is>
      </c>
      <c r="F235" s="3" t="inlineStr">
        <is>
          <t>privateClouds</t>
        </is>
      </c>
      <c r="G235" s="3" t="inlineStr">
        <is>
          <t>HighAvailability</t>
        </is>
      </c>
      <c r="H235" s="3" t="inlineStr">
        <is>
          <t>Enable Stretched Clusters for Multi-AZ Availability of the vSAN Datastore</t>
        </is>
      </c>
      <c r="I235" s="3" t="inlineStr">
        <is>
          <t>Low</t>
        </is>
      </c>
      <c r="J235" s="3" t="inlineStr">
        <is>
          <t xml:space="preserve">For Azure VMware Solution, enabling Stretched Clusters offers 99.99% SLA, synchronous storage replication (RPO=0), and spreads vSAN datastore across two AZs. Must be done at initial setup, needing double quota due to extension across AZs.
</t>
        </is>
      </c>
      <c r="K235" s="3" t="str">
        <f>HYPERLINK("https://learn.microsoft.com/azure/azure-vmware/deploy-vsan-stretched-clusters","https://learn.microsoft.com/azure/azure-vmware/deploy-vsan-stretched-clusters")</f>
      </c>
      <c r="L235" s="3" t="inlineStr">
        <is>
          <t>9ec5b4c8-3dd8-473a-86ee-3273290331b9</t>
        </is>
      </c>
    </row>
    <row r="236" s="2" customFormat="1">
      <c r="A236" s="2" t="inlineStr">
        <is>
          <t>N/A</t>
        </is>
      </c>
      <c r="B236" s="2" t="inlineStr">
        <is>
          <t>0</t>
        </is>
      </c>
      <c r="C236" s="2" t="inlineStr">
        <is>
          <t>Azure Service</t>
        </is>
      </c>
      <c r="D236" s="2" t="inlineStr">
        <is>
          <t>APRL</t>
        </is>
      </c>
      <c r="E236" s="2" t="inlineStr">
        <is>
          <t>Microsoft.AVS</t>
        </is>
      </c>
      <c r="F236" s="2" t="inlineStr">
        <is>
          <t>privateClouds</t>
        </is>
      </c>
      <c r="G236" s="2" t="inlineStr">
        <is>
          <t>MonitoringAndAlerting</t>
        </is>
      </c>
      <c r="H236" s="2" t="inlineStr">
        <is>
          <t>Monitor CPU Utilization to ensure sufficient resources for workloads</t>
        </is>
      </c>
      <c r="I236" s="2" t="inlineStr">
        <is>
          <t>High</t>
        </is>
      </c>
      <c r="J236" s="2" t="inlineStr">
        <is>
          <t xml:space="preserve">Ensure sufficient compute resources to avoid host resource exhaustion in Azure VMware Solution, which utilizes vSphere DRS and HA for dynamic workload resource management. However, sustained CPU utilization over 95% may increase CPU Ready times, impacting workloads.
</t>
        </is>
      </c>
      <c r="K236" s="2" t="str">
        <f>HYPERLINK("https://learn.microsoft.com/azure/well-architected/azure-vmware/monitoring#configure-and-streamline-alerts","https://learn.microsoft.com/azure/well-architected/azure-vmware/monitoring#configure-and-streamline-alerts")</f>
      </c>
      <c r="L236" s="2" t="inlineStr">
        <is>
          <t>4ee5d535-c47b-470a-9557-4a3dd297d62f</t>
        </is>
      </c>
    </row>
    <row r="237" s="3" customFormat="1">
      <c r="A237" s="3" t="inlineStr">
        <is>
          <t>N/A</t>
        </is>
      </c>
      <c r="B237" s="3" t="inlineStr">
        <is>
          <t>0</t>
        </is>
      </c>
      <c r="C237" s="3" t="inlineStr">
        <is>
          <t>Azure Service</t>
        </is>
      </c>
      <c r="D237" s="3" t="inlineStr">
        <is>
          <t>APRL</t>
        </is>
      </c>
      <c r="E237" s="3" t="inlineStr">
        <is>
          <t>Microsoft.AVS</t>
        </is>
      </c>
      <c r="F237" s="3" t="inlineStr">
        <is>
          <t>privateClouds</t>
        </is>
      </c>
      <c r="G237" s="3" t="inlineStr">
        <is>
          <t>MonitoringAndAlerting</t>
        </is>
      </c>
      <c r="H237" s="3" t="inlineStr">
        <is>
          <t>Monitor Memory Utilization to ensure sufficient resources for workloads</t>
        </is>
      </c>
      <c r="I237" s="3" t="inlineStr">
        <is>
          <t>High</t>
        </is>
      </c>
      <c r="J237" s="3" t="inlineStr">
        <is>
          <t xml:space="preserve">Ensure sufficient memory resources to prevent host resource exhaustion in Azure VMware Solution. It uses vSphere DRS and vSphere HA for dynamic workload management. Yet, continuous memory use over 95% leads to disk swapping, affecting workloads.
</t>
        </is>
      </c>
      <c r="K237" s="3" t="str">
        <f>HYPERLINK("https://learn.microsoft.com/azure/well-architected/azure-vmware/monitoring#configure-and-streamline-alerts","https://learn.microsoft.com/azure/well-architected/azure-vmware/monitoring#configure-and-streamline-alerts")</f>
      </c>
      <c r="L237" s="3" t="inlineStr">
        <is>
          <t>029208c8-5186-4a76-8ee8-6e3445fef4dd</t>
        </is>
      </c>
    </row>
    <row r="238" s="2" customFormat="1">
      <c r="A238" s="2" t="inlineStr">
        <is>
          <t>N/A</t>
        </is>
      </c>
      <c r="B238" s="2" t="inlineStr">
        <is>
          <t>0</t>
        </is>
      </c>
      <c r="C238" s="2" t="inlineStr">
        <is>
          <t>Azure Service</t>
        </is>
      </c>
      <c r="D238" s="2" t="inlineStr">
        <is>
          <t>AZQR</t>
        </is>
      </c>
      <c r="E238" s="2" t="inlineStr">
        <is>
          <t>Microsoft.Synapse</t>
        </is>
      </c>
      <c r="F238" s="2" t="inlineStr">
        <is>
          <t>workspaces</t>
        </is>
      </c>
      <c r="G238" s="2" t="inlineStr">
        <is>
          <t>Security</t>
        </is>
      </c>
      <c r="H238" s="2" t="inlineStr">
        <is>
          <t>Azure Synapse Workspace should establish network segmentation boundaries</t>
        </is>
      </c>
      <c r="I238" s="2" t="inlineStr">
        <is>
          <t>High</t>
        </is>
      </c>
      <c r="J238" s="2" t="inlineStr">
        <is>
          <t>Azure Synapse Workspace should have managed virtual network enabled to establish proper network segmentation boundaries.</t>
        </is>
      </c>
      <c r="K238" s="2" t="str">
        <f>HYPERLINK("https://learn.microsoft.com/en-us/security/benchmark/azure/baselines/azure-synapse-analytics-security-baseline?toc=%2Fazure%2Fsynapse-analytics%2Ftoc.json","https://learn.microsoft.com/en-us/security/benchmark/azure/baselines/azure-synapse-analytics-security-baseline?toc=%2Fazure%2Fsynapse-analytics%2Ftoc.json")</f>
      </c>
      <c r="L238" s="2" t="inlineStr">
        <is>
          <t>synw-006</t>
        </is>
      </c>
    </row>
    <row r="239" s="3" customFormat="1">
      <c r="A239" s="3" t="inlineStr">
        <is>
          <t>N/A</t>
        </is>
      </c>
      <c r="B239" s="3" t="inlineStr">
        <is>
          <t>0</t>
        </is>
      </c>
      <c r="C239" s="3" t="inlineStr">
        <is>
          <t>Azure Service</t>
        </is>
      </c>
      <c r="D239" s="3" t="inlineStr">
        <is>
          <t>AZQR</t>
        </is>
      </c>
      <c r="E239" s="3" t="inlineStr">
        <is>
          <t>Microsoft.Synapse</t>
        </is>
      </c>
      <c r="F239" s="3" t="inlineStr">
        <is>
          <t>workspaces</t>
        </is>
      </c>
      <c r="G239" s="3" t="inlineStr">
        <is>
          <t>Security</t>
        </is>
      </c>
      <c r="H239" s="3" t="inlineStr">
        <is>
          <t>Azure Synapse Workspace should disable public network access</t>
        </is>
      </c>
      <c r="I239" s="3" t="inlineStr">
        <is>
          <t>High</t>
        </is>
      </c>
      <c r="J239" s="3" t="inlineStr">
        <is>
          <t>Azure Synapse Workspace should have public network access disabled to prevent unauthorized access from the internet.</t>
        </is>
      </c>
      <c r="K239" s="3" t="str">
        <f>HYPERLINK("https://learn.microsoft.com/en-us/security/benchmark/azure/baselines/azure-synapse-analytics-security-baseline?toc=%2Fazure%2Fsynapse-analytics%2Ftoc.json","https://learn.microsoft.com/en-us/security/benchmark/azure/baselines/azure-synapse-analytics-security-baseline?toc=%2Fazure%2Fsynapse-analytics%2Ftoc.json")</f>
      </c>
      <c r="L239" s="3" t="inlineStr">
        <is>
          <t>synw-007</t>
        </is>
      </c>
    </row>
    <row r="240" s="2" customFormat="1">
      <c r="A240" s="2" t="inlineStr">
        <is>
          <t>N/A</t>
        </is>
      </c>
      <c r="B240" s="2" t="inlineStr">
        <is>
          <t>0</t>
        </is>
      </c>
      <c r="C240" s="2" t="inlineStr">
        <is>
          <t>Azure Service</t>
        </is>
      </c>
      <c r="D240" s="2" t="inlineStr">
        <is>
          <t>AZQR</t>
        </is>
      </c>
      <c r="E240" s="2" t="inlineStr">
        <is>
          <t>Microsoft.Synapse</t>
        </is>
      </c>
      <c r="F240" s="2" t="inlineStr">
        <is>
          <t>workspaces</t>
        </is>
      </c>
      <c r="G240" s="2" t="inlineStr">
        <is>
          <t>Security</t>
        </is>
      </c>
      <c r="H240" s="2" t="inlineStr">
        <is>
          <t>Azure Synapse Workspace should have private endpoints enabled</t>
        </is>
      </c>
      <c r="I240" s="2" t="inlineStr">
        <is>
          <t>High</t>
        </is>
      </c>
      <c r="J240" s="2" t="inlineStr">
        <is>
          <t>Azure Synapse Workspace should have private endpoints configured to secure access and prevent exposure to the public internet.</t>
        </is>
      </c>
      <c r="K240" s="2" t="str">
        <f>HYPERLINK("https://learn.microsoft.com/en-us/azure/synapse-analytics/security/synapse-workspace-managed-private-endpoints","https://learn.microsoft.com/en-us/azure/synapse-analytics/security/synapse-workspace-managed-private-endpoints")</f>
      </c>
      <c r="L240" s="2" t="inlineStr">
        <is>
          <t>synw-002</t>
        </is>
      </c>
    </row>
    <row r="241" s="3" customFormat="1">
      <c r="A241" s="3" t="inlineStr">
        <is>
          <t>N/A</t>
        </is>
      </c>
      <c r="B241" s="3" t="inlineStr">
        <is>
          <t>0</t>
        </is>
      </c>
      <c r="C241" s="3" t="inlineStr">
        <is>
          <t>Azure Service</t>
        </is>
      </c>
      <c r="D241" s="3" t="inlineStr">
        <is>
          <t>AZQR</t>
        </is>
      </c>
      <c r="E241" s="3" t="inlineStr">
        <is>
          <t>microsoft.synapse</t>
        </is>
      </c>
      <c r="F241" s="3" t="inlineStr">
        <is>
          <t>workspaces</t>
        </is>
      </c>
      <c r="G241" s="3" t="inlineStr">
        <is>
          <t>MonitoringAndAlerting</t>
        </is>
      </c>
      <c r="H241" s="3" t="inlineStr">
        <is>
          <t>Azure Synapse Workspace should have diagnostic settings enabled</t>
        </is>
      </c>
      <c r="I241" s="3" t="inlineStr">
        <is>
          <t>Low</t>
        </is>
      </c>
      <c r="J241" s="3" t="inlineStr">
        <is>
          <t/>
        </is>
      </c>
      <c r="K241" s="3" t="str">
        <f>HYPERLINK("https://learn.microsoft.com/en-us/azure/data-factory/monitor-configure-diagnostics","https://learn.microsoft.com/en-us/azure/data-factory/monitor-configure-diagnostics")</f>
      </c>
      <c r="L241" s="3" t="inlineStr">
        <is>
          <t>synw-001</t>
        </is>
      </c>
    </row>
    <row r="242" s="2" customFormat="1">
      <c r="A242" s="2" t="inlineStr">
        <is>
          <t>false</t>
        </is>
      </c>
      <c r="B242" s="2" t="inlineStr">
        <is>
          <t>1</t>
        </is>
      </c>
      <c r="C242" s="2" t="inlineStr">
        <is>
          <t>Azure Service</t>
        </is>
      </c>
      <c r="D242" s="2" t="inlineStr">
        <is>
          <t>APRL</t>
        </is>
      </c>
      <c r="E242" s="2" t="inlineStr">
        <is>
          <t>Microsoft.Network</t>
        </is>
      </c>
      <c r="F242" s="2" t="inlineStr">
        <is>
          <t>virtualNetworks</t>
        </is>
      </c>
      <c r="G242" s="2" t="inlineStr">
        <is>
          <t>MonitoringAndAlerting</t>
        </is>
      </c>
      <c r="H242" s="2" t="inlineStr">
        <is>
          <t>Enable Virtual Network Flow Logs</t>
        </is>
      </c>
      <c r="I242" s="2" t="inlineStr">
        <is>
          <t>Medium</t>
        </is>
      </c>
      <c r="J242" s="2" t="inlineStr">
        <is>
          <t xml:space="preserve">Improves monitoring and security for Azure and Hybrid connectivity
</t>
        </is>
      </c>
      <c r="K242" s="2" t="str">
        <f>HYPERLINK("https://learn.microsoft.com/azure/network-watcher/vnet-flow-logs-overview","https://learn.microsoft.com/azure/network-watcher/vnet-flow-logs-overview")</f>
      </c>
      <c r="L242" s="2" t="inlineStr">
        <is>
          <t>06b77be9-56a3-4d41-b362-8b295c5a283d</t>
        </is>
      </c>
    </row>
    <row r="243" s="3" customFormat="1">
      <c r="A243" s="3" t="inlineStr">
        <is>
          <t>true</t>
        </is>
      </c>
      <c r="B243" s="3" t="inlineStr">
        <is>
          <t>0</t>
        </is>
      </c>
      <c r="C243" s="3" t="inlineStr">
        <is>
          <t>Azure Service</t>
        </is>
      </c>
      <c r="D243" s="3" t="inlineStr">
        <is>
          <t>AOR</t>
        </is>
      </c>
      <c r="E243" s="3" t="inlineStr">
        <is>
          <t>Microsoft.Network</t>
        </is>
      </c>
      <c r="F243" s="3" t="inlineStr">
        <is>
          <t>virtualNetworks</t>
        </is>
      </c>
      <c r="G243" s="3" t="inlineStr">
        <is>
          <t>Governance</t>
        </is>
      </c>
      <c r="H243" s="3" t="inlineStr">
        <is>
          <t>Virtual Networks without subnets</t>
        </is>
      </c>
      <c r="I243" s="3" t="inlineStr">
        <is>
          <t>Medium</t>
        </is>
      </c>
      <c r="J243" s="3" t="inlineStr">
        <is>
          <t xml:space="preserve">Virtual Networks without subnets.
</t>
        </is>
      </c>
      <c r="K243" s="3" t="str">
        <f>HYPERLINK("https://learn.microsoft.com/azure/virtual-network/virtual-networks-overview","https://learn.microsoft.com/azure/virtual-network/virtual-networks-overview")</f>
      </c>
      <c r="L243" s="3" t="inlineStr">
        <is>
          <t>3a4b5c6d-7e8f-9a0b-1c2d-3e4f5a6b7c8d</t>
        </is>
      </c>
    </row>
    <row r="244" s="2" customFormat="1">
      <c r="A244" s="2" t="inlineStr">
        <is>
          <t>true</t>
        </is>
      </c>
      <c r="B244" s="2" t="inlineStr">
        <is>
          <t>0</t>
        </is>
      </c>
      <c r="C244" s="2" t="inlineStr">
        <is>
          <t>Azure Service</t>
        </is>
      </c>
      <c r="D244" s="2" t="inlineStr">
        <is>
          <t>AZQR</t>
        </is>
      </c>
      <c r="E244" s="2" t="inlineStr">
        <is>
          <t>Microsoft.Network</t>
        </is>
      </c>
      <c r="F244" s="2" t="inlineStr">
        <is>
          <t>virtualNetworks</t>
        </is>
      </c>
      <c r="G244" s="2" t="inlineStr">
        <is>
          <t>HighAvailability</t>
        </is>
      </c>
      <c r="H244" s="2" t="inlineStr">
        <is>
          <t>Virtual Network should have at least two DNS servers assigned</t>
        </is>
      </c>
      <c r="I244" s="2" t="inlineStr">
        <is>
          <t>High</t>
        </is>
      </c>
      <c r="J244" s="2" t="inlineStr">
        <is>
          <t>Virtual Network should have at least two DNS servers assigned</t>
        </is>
      </c>
      <c r="K244" s="2" t="str">
        <f>HYPERLINK("https://learn.microsoft.com/azure/virtual-network/virtual-networks-name-resolution-for-vms-and-role-instances","https://learn.microsoft.com/azure/virtual-network/virtual-networks-name-resolution-for-vms-and-role-instances")</f>
      </c>
      <c r="L244" s="2" t="inlineStr">
        <is>
          <t>vnet-009</t>
        </is>
      </c>
    </row>
    <row r="245" s="3" customFormat="1">
      <c r="A245" s="3" t="inlineStr">
        <is>
          <t>true</t>
        </is>
      </c>
      <c r="B245" s="3" t="inlineStr">
        <is>
          <t>0</t>
        </is>
      </c>
      <c r="C245" s="3" t="inlineStr">
        <is>
          <t>Azure Service</t>
        </is>
      </c>
      <c r="D245" s="3" t="inlineStr">
        <is>
          <t>AZQR</t>
        </is>
      </c>
      <c r="E245" s="3" t="inlineStr">
        <is>
          <t>microsoft.network</t>
        </is>
      </c>
      <c r="F245" s="3" t="inlineStr">
        <is>
          <t>virtualnetworks</t>
        </is>
      </c>
      <c r="G245" s="3" t="inlineStr">
        <is>
          <t>MonitoringAndAlerting</t>
        </is>
      </c>
      <c r="H245" s="3" t="inlineStr">
        <is>
          <t>Virtual Network should have diagnostic settings enabled</t>
        </is>
      </c>
      <c r="I245" s="3" t="inlineStr">
        <is>
          <t>Low</t>
        </is>
      </c>
      <c r="J245" s="3" t="inlineStr">
        <is>
          <t/>
        </is>
      </c>
      <c r="K245" s="3" t="str">
        <f>HYPERLINK("https://learn.microsoft.com/en-us/azure/virtual-network/monitor-virtual-network#collection-and-routing","https://learn.microsoft.com/en-us/azure/virtual-network/monitor-virtual-network#collection-and-routing")</f>
      </c>
      <c r="L245" s="3" t="inlineStr">
        <is>
          <t>vnet-001</t>
        </is>
      </c>
    </row>
    <row r="246" s="2" customFormat="1">
      <c r="A246" s="2" t="inlineStr">
        <is>
          <t>N/A</t>
        </is>
      </c>
      <c r="B246" s="2" t="inlineStr">
        <is>
          <t>0</t>
        </is>
      </c>
      <c r="C246" s="2" t="inlineStr">
        <is>
          <t>Azure Service</t>
        </is>
      </c>
      <c r="D246" s="2" t="inlineStr">
        <is>
          <t>AZQR</t>
        </is>
      </c>
      <c r="E246" s="2" t="inlineStr">
        <is>
          <t>microsoft.datafactory</t>
        </is>
      </c>
      <c r="F246" s="2" t="inlineStr">
        <is>
          <t>factories</t>
        </is>
      </c>
      <c r="G246" s="2" t="inlineStr">
        <is>
          <t>MonitoringAndAlerting</t>
        </is>
      </c>
      <c r="H246" s="2" t="inlineStr">
        <is>
          <t>Azure Data Factory should have diagnostic settings enabled</t>
        </is>
      </c>
      <c r="I246" s="2" t="inlineStr">
        <is>
          <t>Low</t>
        </is>
      </c>
      <c r="J246" s="2" t="inlineStr">
        <is>
          <t/>
        </is>
      </c>
      <c r="K246" s="2" t="str">
        <f>HYPERLINK("https://learn.microsoft.com/en-us/azure/data-factory/monitor-configure-diagnostics","https://learn.microsoft.com/en-us/azure/data-factory/monitor-configure-diagnostics")</f>
      </c>
      <c r="L246" s="2" t="inlineStr">
        <is>
          <t>adf-001</t>
        </is>
      </c>
    </row>
    <row r="247" s="3" customFormat="1">
      <c r="A247" s="3" t="inlineStr">
        <is>
          <t>N/A</t>
        </is>
      </c>
      <c r="B247" s="3" t="inlineStr">
        <is>
          <t>0</t>
        </is>
      </c>
      <c r="C247" s="3" t="inlineStr">
        <is>
          <t>Azure Service</t>
        </is>
      </c>
      <c r="D247" s="3" t="inlineStr">
        <is>
          <t>AOR</t>
        </is>
      </c>
      <c r="E247" s="3" t="inlineStr">
        <is>
          <t>Microsoft.Web</t>
        </is>
      </c>
      <c r="F247" s="3" t="inlineStr">
        <is>
          <t>certificates</t>
        </is>
      </c>
      <c r="G247" s="3" t="inlineStr">
        <is>
          <t>Governance</t>
        </is>
      </c>
      <c r="H247" s="3" t="inlineStr">
        <is>
          <t>Expired certificates</t>
        </is>
      </c>
      <c r="I247" s="3" t="inlineStr">
        <is>
          <t>Medium</t>
        </is>
      </c>
      <c r="J247" s="3" t="inlineStr">
        <is>
          <t xml:space="preserve">Expired certificates.
</t>
        </is>
      </c>
      <c r="K247" s="3" t="str">
        <f>HYPERLINK("https://learn.microsoft.com/en-us/azure/app-service/configure-ssl-certificate","https://learn.microsoft.com/en-us/azure/app-service/configure-ssl-certificate")</f>
      </c>
      <c r="L247" s="3" t="inlineStr">
        <is>
          <t>3e4f5a6b-7c8d-9e0f-1a2b-3c4d5e6f7a8b</t>
        </is>
      </c>
    </row>
    <row r="248" s="2" customFormat="1">
      <c r="A248" s="2" t="inlineStr">
        <is>
          <t>N/A</t>
        </is>
      </c>
      <c r="B248" s="2" t="inlineStr">
        <is>
          <t>0</t>
        </is>
      </c>
      <c r="C248" s="2" t="inlineStr">
        <is>
          <t>Azure Service</t>
        </is>
      </c>
      <c r="D248" s="2" t="inlineStr">
        <is>
          <t>AZQR</t>
        </is>
      </c>
      <c r="E248" s="2" t="inlineStr">
        <is>
          <t>Microsoft.ContainerInstance</t>
        </is>
      </c>
      <c r="F248" s="2" t="inlineStr">
        <is>
          <t>containerGroups</t>
        </is>
      </c>
      <c r="G248" s="2" t="inlineStr">
        <is>
          <t>HighAvailability</t>
        </is>
      </c>
      <c r="H248" s="2" t="inlineStr">
        <is>
          <t>ContainerInstance should have availability zones enabled</t>
        </is>
      </c>
      <c r="I248" s="2" t="inlineStr">
        <is>
          <t>High</t>
        </is>
      </c>
      <c r="J248" s="2" t="inlineStr">
        <is>
          <t xml:space="preserve">Azure Container Instances should have availability zones enabled
to ensure high availability and protect against datacenter failures.
</t>
        </is>
      </c>
      <c r="K248" s="2" t="str">
        <f>HYPERLINK("https://learn.microsoft.com/en-us/azure/container-instances/availability-zones","https://learn.microsoft.com/en-us/azure/container-instances/availability-zones")</f>
      </c>
      <c r="L248" s="2" t="inlineStr">
        <is>
          <t>ci-002</t>
        </is>
      </c>
    </row>
    <row r="249" s="3" customFormat="1">
      <c r="A249" s="3" t="inlineStr">
        <is>
          <t>N/A</t>
        </is>
      </c>
      <c r="B249" s="3" t="inlineStr">
        <is>
          <t>0</t>
        </is>
      </c>
      <c r="C249" s="3" t="inlineStr">
        <is>
          <t>Azure Service</t>
        </is>
      </c>
      <c r="D249" s="3" t="inlineStr">
        <is>
          <t>AZQR</t>
        </is>
      </c>
      <c r="E249" s="3" t="inlineStr">
        <is>
          <t>Microsoft.ContainerInstance</t>
        </is>
      </c>
      <c r="F249" s="3" t="inlineStr">
        <is>
          <t>containerGroups</t>
        </is>
      </c>
      <c r="G249" s="3" t="inlineStr">
        <is>
          <t>Security</t>
        </is>
      </c>
      <c r="H249" s="3" t="inlineStr">
        <is>
          <t>ContainerInstance should use private IP addresses</t>
        </is>
      </c>
      <c r="I249" s="3" t="inlineStr">
        <is>
          <t>High</t>
        </is>
      </c>
      <c r="J249" s="3" t="inlineStr">
        <is>
          <t xml:space="preserve">Azure Container Instances should use private IP addresses instead
of public IPs for enhanced security and to follow network security best practices.
</t>
        </is>
      </c>
      <c r="K249" s="3" t="str">
        <f>HYPERLINK("https://learn.microsoft.com/en-us/azure/container-instances/container-instances-vnet","https://learn.microsoft.com/en-us/azure/container-instances/container-instances-vnet")</f>
      </c>
      <c r="L249" s="3" t="inlineStr">
        <is>
          <t>ci-004</t>
        </is>
      </c>
    </row>
    <row r="250" s="2" customFormat="1">
      <c r="A250" s="2" t="inlineStr">
        <is>
          <t>true</t>
        </is>
      </c>
      <c r="B250" s="2" t="inlineStr">
        <is>
          <t>0</t>
        </is>
      </c>
      <c r="C250" s="2" t="inlineStr">
        <is>
          <t>Azure Service</t>
        </is>
      </c>
      <c r="D250" s="2" t="inlineStr">
        <is>
          <t>AZQR</t>
        </is>
      </c>
      <c r="E250" s="2" t="inlineStr">
        <is>
          <t>microsoft.keyvault</t>
        </is>
      </c>
      <c r="F250" s="2" t="inlineStr">
        <is>
          <t>vaults</t>
        </is>
      </c>
      <c r="G250" s="2" t="inlineStr">
        <is>
          <t>MonitoringAndAlerting</t>
        </is>
      </c>
      <c r="H250" s="2" t="inlineStr">
        <is>
          <t>Key Vault should have diagnostic settings enabled</t>
        </is>
      </c>
      <c r="I250" s="2" t="inlineStr">
        <is>
          <t>Low</t>
        </is>
      </c>
      <c r="J250" s="2" t="inlineStr">
        <is>
          <t/>
        </is>
      </c>
      <c r="K250" s="2" t="str">
        <f>HYPERLINK("https://learn.microsoft.com/en-us/azure/key-vault/general/monitor-key-vault","https://learn.microsoft.com/en-us/azure/key-vault/general/monitor-key-vault")</f>
      </c>
      <c r="L250" s="2" t="inlineStr">
        <is>
          <t>kv-001</t>
        </is>
      </c>
    </row>
    <row r="251" s="3" customFormat="1">
      <c r="A251" s="3" t="inlineStr">
        <is>
          <t>true</t>
        </is>
      </c>
      <c r="B251" s="3" t="inlineStr">
        <is>
          <t>0</t>
        </is>
      </c>
      <c r="C251" s="3" t="inlineStr">
        <is>
          <t>Azure Service</t>
        </is>
      </c>
      <c r="D251" s="3" t="inlineStr">
        <is>
          <t>APRL</t>
        </is>
      </c>
      <c r="E251" s="3" t="inlineStr">
        <is>
          <t>Microsoft.KeyVault</t>
        </is>
      </c>
      <c r="F251" s="3" t="inlineStr">
        <is>
          <t>vaults</t>
        </is>
      </c>
      <c r="G251" s="3" t="inlineStr">
        <is>
          <t>DisasterRecovery</t>
        </is>
      </c>
      <c r="H251" s="3" t="inlineStr">
        <is>
          <t>Key vaults should have soft delete enabled</t>
        </is>
      </c>
      <c r="I251" s="3" t="inlineStr">
        <is>
          <t>High</t>
        </is>
      </c>
      <c r="J251" s="3" t="inlineStr">
        <is>
          <t xml:space="preserve">Key Vault's soft-delete feature enables recovery of deleted vaults and objects like keys, secrets, and certificates. When enabled, marked resources are retained for 90 days, allowing for their recovery, essentially undoing deletion.
</t>
        </is>
      </c>
      <c r="K251" s="3" t="str">
        <f>HYPERLINK("https://learn.microsoft.com/azure/key-vault/general/soft-delete-overview","https://learn.microsoft.com/azure/key-vault/general/soft-delete-overview")</f>
      </c>
      <c r="L251" s="3" t="inlineStr">
        <is>
          <t>1cca00d2-d9ab-8e42-a788-5d40f49405cb</t>
        </is>
      </c>
    </row>
    <row r="252" s="2" customFormat="1">
      <c r="A252" s="2" t="inlineStr">
        <is>
          <t>true</t>
        </is>
      </c>
      <c r="B252" s="2" t="inlineStr">
        <is>
          <t>0</t>
        </is>
      </c>
      <c r="C252" s="2" t="inlineStr">
        <is>
          <t>Azure Service</t>
        </is>
      </c>
      <c r="D252" s="2" t="inlineStr">
        <is>
          <t>APRL</t>
        </is>
      </c>
      <c r="E252" s="2" t="inlineStr">
        <is>
          <t>Microsoft.KeyVault</t>
        </is>
      </c>
      <c r="F252" s="2" t="inlineStr">
        <is>
          <t>vaults</t>
        </is>
      </c>
      <c r="G252" s="2" t="inlineStr">
        <is>
          <t>DisasterRecovery</t>
        </is>
      </c>
      <c r="H252" s="2" t="inlineStr">
        <is>
          <t>Key vaults should have purge protection enabled</t>
        </is>
      </c>
      <c r="I252" s="2" t="inlineStr">
        <is>
          <t>Medium</t>
        </is>
      </c>
      <c r="J252" s="2" t="inlineStr">
        <is>
          <t xml:space="preserve">Purge protection secures against malicious deletions by enforcing a retention period for soft deleted key vaults, ensuring no one, not even insiders or Microsoft, can purge your key vaults during this period, preventing permanent data loss.
</t>
        </is>
      </c>
      <c r="K252" s="2" t="str">
        <f>HYPERLINK("https://learn.microsoft.com/azure/key-vault/general/soft-delete-overview#purge-protection","https://learn.microsoft.com/azure/key-vault/general/soft-delete-overview#purge-protection")</f>
      </c>
      <c r="L252" s="2" t="inlineStr">
        <is>
          <t>70fcfe6d-00e9-5544-a63a-fff42b9f2edb</t>
        </is>
      </c>
    </row>
    <row r="253" s="3" customFormat="1">
      <c r="A253" s="3" t="inlineStr">
        <is>
          <t>N/A</t>
        </is>
      </c>
      <c r="B253" s="3" t="inlineStr">
        <is>
          <t>0</t>
        </is>
      </c>
      <c r="C253" s="3" t="inlineStr">
        <is>
          <t>Azure Service</t>
        </is>
      </c>
      <c r="D253" s="3" t="inlineStr">
        <is>
          <t>APRL</t>
        </is>
      </c>
      <c r="E253" s="3" t="inlineStr">
        <is>
          <t>Microsoft.Compute</t>
        </is>
      </c>
      <c r="F253" s="3" t="inlineStr">
        <is>
          <t>virtualMachines</t>
        </is>
      </c>
      <c r="G253" s="3" t="inlineStr">
        <is>
          <t>HighAvailability</t>
        </is>
      </c>
      <c r="H253" s="3" t="inlineStr">
        <is>
          <t>Run production workloads on two or more VMs using VMSS Flex</t>
        </is>
      </c>
      <c r="I253" s="3" t="inlineStr">
        <is>
          <t>High</t>
        </is>
      </c>
      <c r="J253" s="3" t="inlineStr">
        <is>
          <t xml:space="preserve">Production VM workloads should be deployed on multiple VMs and grouped in a VMSS Flex instance to intelligently distribute across the platform, minimizing the impact of platform faults and updates.
</t>
        </is>
      </c>
      <c r="K253" s="3" t="str">
        <f>HYPERLINK("https://learn.microsoft.com/azure/virtual-machine-scale-sets/virtual-machine-scale-sets-orchestration-modes#what-has-changed-with-flexible-orchestration-mode","https://learn.microsoft.com/azure/virtual-machine-scale-sets/virtual-machine-scale-sets-orchestration-modes#what-has-changed-with-flexible-orchestration-mode")</f>
      </c>
      <c r="L253" s="3" t="inlineStr">
        <is>
          <t>273f6b30-68e0-4241-85ea-acf15ffb60bf</t>
        </is>
      </c>
    </row>
    <row r="254" s="2" customFormat="1">
      <c r="A254" s="2" t="inlineStr">
        <is>
          <t>N/A</t>
        </is>
      </c>
      <c r="B254" s="2" t="inlineStr">
        <is>
          <t>0</t>
        </is>
      </c>
      <c r="C254" s="2" t="inlineStr">
        <is>
          <t>Azure Service</t>
        </is>
      </c>
      <c r="D254" s="2" t="inlineStr">
        <is>
          <t>APRL</t>
        </is>
      </c>
      <c r="E254" s="2" t="inlineStr">
        <is>
          <t>Microsoft.Compute</t>
        </is>
      </c>
      <c r="F254" s="2" t="inlineStr">
        <is>
          <t>virtualMachines</t>
        </is>
      </c>
      <c r="G254" s="2" t="inlineStr">
        <is>
          <t>HighAvailability</t>
        </is>
      </c>
      <c r="H254" s="2" t="inlineStr">
        <is>
          <t>Reserve Compute Capacity for critical workloads</t>
        </is>
      </c>
      <c r="I254" s="2" t="inlineStr">
        <is>
          <t>High</t>
        </is>
      </c>
      <c r="J254" s="2" t="inlineStr">
        <is>
          <t xml:space="preserve">Azure Capacity Reservations ensure high availability for virtual machines by reserving compute capacity in advance within a specific region or availability zone. This guarantees that VMs will have the necessary resources during peak demand or maintenance events, enhancing reliability and uptime.
</t>
        </is>
      </c>
      <c r="K254" s="2" t="str">
        <f>HYPERLINK("https://aka.ms/on-demand-capacity-reservations-docs","https://aka.ms/on-demand-capacity-reservations-docs")</f>
      </c>
      <c r="L254" s="2" t="inlineStr">
        <is>
          <t>302fda08-ee65-4fbe-a916-6dc0b33169c4</t>
        </is>
      </c>
    </row>
    <row r="255" s="3" customFormat="1">
      <c r="A255" s="3" t="inlineStr">
        <is>
          <t>N/A</t>
        </is>
      </c>
      <c r="B255" s="3" t="inlineStr">
        <is>
          <t>0</t>
        </is>
      </c>
      <c r="C255" s="3" t="inlineStr">
        <is>
          <t>Azure Service</t>
        </is>
      </c>
      <c r="D255" s="3" t="inlineStr">
        <is>
          <t>APRL</t>
        </is>
      </c>
      <c r="E255" s="3" t="inlineStr">
        <is>
          <t>Microsoft.Compute</t>
        </is>
      </c>
      <c r="F255" s="3" t="inlineStr">
        <is>
          <t>virtualMachines</t>
        </is>
      </c>
      <c r="G255" s="3" t="inlineStr">
        <is>
          <t>HighAvailability</t>
        </is>
      </c>
      <c r="H255" s="3" t="inlineStr">
        <is>
          <t>Migrate VMs using availability sets to VMSS Flex</t>
        </is>
      </c>
      <c r="I255" s="3" t="inlineStr">
        <is>
          <t>High</t>
        </is>
      </c>
      <c r="J255" s="3" t="inlineStr">
        <is>
          <t xml:space="preserve">While availability sets are not scheduled for immediate deprecation, they are planned to be deprecated in the future. Migrate workloads from VMs to VMSS Flex for deployment across zones or within the same zone across different fault domains (FDs) for better reliability.
</t>
        </is>
      </c>
      <c r="K255" s="3" t="str">
        <f>HYPERLINK("https://learn.microsoft.com/azure/virtual-machine-scale-sets/flexible-virtual-machine-scale-sets-migration-resources","https://learn.microsoft.com/azure/virtual-machine-scale-sets/flexible-virtual-machine-scale-sets-migration-resources")</f>
      </c>
      <c r="L255" s="3" t="inlineStr">
        <is>
          <t>a8d25876-7951-b646-b4e8-880c9031596b</t>
        </is>
      </c>
    </row>
    <row r="256" s="2" customFormat="1">
      <c r="A256" s="2" t="inlineStr">
        <is>
          <t>N/A</t>
        </is>
      </c>
      <c r="B256" s="2" t="inlineStr">
        <is>
          <t>0</t>
        </is>
      </c>
      <c r="C256" s="2" t="inlineStr">
        <is>
          <t>Azure Service</t>
        </is>
      </c>
      <c r="D256" s="2" t="inlineStr">
        <is>
          <t>APRL</t>
        </is>
      </c>
      <c r="E256" s="2" t="inlineStr">
        <is>
          <t>Microsoft.Compute</t>
        </is>
      </c>
      <c r="F256" s="2" t="inlineStr">
        <is>
          <t>virtualMachines</t>
        </is>
      </c>
      <c r="G256" s="2" t="inlineStr">
        <is>
          <t>MonitoringAndAlerting</t>
        </is>
      </c>
      <c r="H256" s="2" t="inlineStr">
        <is>
          <t>Enable VM Insights</t>
        </is>
      </c>
      <c r="I256" s="2" t="inlineStr">
        <is>
          <t>Low</t>
        </is>
      </c>
      <c r="J256" s="2" t="inlineStr">
        <is>
          <t xml:space="preserve">VM Insights monitors VM and scale set performance, health, running processes, and dependencies. It enhances the predictability of application performance and availability by pinpointing performance bottlenecks and network issues, and it clarifies if problems are related to other dependencies.
</t>
        </is>
      </c>
      <c r="K256" s="2" t="str">
        <f>HYPERLINK("https://learn.microsoft.com/azure/azure-monitor/vm/vminsights-overview","https://learn.microsoft.com/azure/azure-monitor/vm/vminsights-overview")</f>
      </c>
      <c r="L256" s="2" t="inlineStr">
        <is>
          <t>b72214bb-e879-5f4b-b9cd-642db84f36f4</t>
        </is>
      </c>
    </row>
    <row r="257" s="3" customFormat="1">
      <c r="A257" s="3" t="inlineStr">
        <is>
          <t>N/A</t>
        </is>
      </c>
      <c r="B257" s="3" t="inlineStr">
        <is>
          <t>0</t>
        </is>
      </c>
      <c r="C257" s="3" t="inlineStr">
        <is>
          <t>Azure Service</t>
        </is>
      </c>
      <c r="D257" s="3" t="inlineStr">
        <is>
          <t>APRL</t>
        </is>
      </c>
      <c r="E257" s="3" t="inlineStr">
        <is>
          <t>Microsoft.Compute</t>
        </is>
      </c>
      <c r="F257" s="3" t="inlineStr">
        <is>
          <t>virtualMachines</t>
        </is>
      </c>
      <c r="G257" s="3" t="inlineStr">
        <is>
          <t>DisasterRecovery</t>
        </is>
      </c>
      <c r="H257" s="3" t="inlineStr">
        <is>
          <t>Backup VMs with Azure Backup service</t>
        </is>
      </c>
      <c r="I257" s="3" t="inlineStr">
        <is>
          <t>Medium</t>
        </is>
      </c>
      <c r="J257" s="3" t="inlineStr">
        <is>
          <t xml:space="preserve">Enable backups for your virtual machines with Azure Backup to secure and quickly recover your data. This service offers simple, secure, and cost-effective solutions for backing up and recovering data from the Microsoft Azure cloud.
</t>
        </is>
      </c>
      <c r="K257" s="3" t="str">
        <f>HYPERLINK("https://learn.microsoft.com/azure/backup/backup-overview","https://learn.microsoft.com/azure/backup/backup-overview")</f>
      </c>
      <c r="L257" s="3" t="inlineStr">
        <is>
          <t>1981f704-97b9-b645-9c57-33f8ded9261a</t>
        </is>
      </c>
    </row>
    <row r="258" s="2" customFormat="1">
      <c r="A258" s="2" t="inlineStr">
        <is>
          <t>N/A</t>
        </is>
      </c>
      <c r="B258" s="2" t="inlineStr">
        <is>
          <t>0</t>
        </is>
      </c>
      <c r="C258" s="2" t="inlineStr">
        <is>
          <t>Azure Service</t>
        </is>
      </c>
      <c r="D258" s="2" t="inlineStr">
        <is>
          <t>APRL</t>
        </is>
      </c>
      <c r="E258" s="2" t="inlineStr">
        <is>
          <t>Microsoft.Compute</t>
        </is>
      </c>
      <c r="F258" s="2" t="inlineStr">
        <is>
          <t>virtualMachines</t>
        </is>
      </c>
      <c r="G258" s="2" t="inlineStr">
        <is>
          <t>DisasterRecovery</t>
        </is>
      </c>
      <c r="H258" s="2" t="inlineStr">
        <is>
          <t>Validate VM functionality with a Site Recovery test failover to check performance at target</t>
        </is>
      </c>
      <c r="I258" s="2" t="inlineStr">
        <is>
          <t>High</t>
        </is>
      </c>
      <c r="J258" s="2" t="inlineStr">
        <is>
          <t xml:space="preserve">Perform a test failover to validate your BCDR strategy and ensure that your applications are functioning correctly in the target region without impacting your production environment. Test your Disaster Recovery plan periodically without any data loss or downtime, using test failovers.
</t>
        </is>
      </c>
      <c r="K258" s="2" t="str">
        <f>HYPERLINK("https://learn.microsoft.com/azure/site-recovery/azure-to-azure-tutorial-dr-drill#run-a-test-failover","https://learn.microsoft.com/azure/site-recovery/azure-to-azure-tutorial-dr-drill#run-a-test-failover")</f>
      </c>
      <c r="L258" s="2" t="inlineStr">
        <is>
          <t>17e877f7-3a89-4205-8a24-0670de54ddcd</t>
        </is>
      </c>
    </row>
    <row r="259" s="3" customFormat="1">
      <c r="A259" s="3" t="inlineStr">
        <is>
          <t>N/A</t>
        </is>
      </c>
      <c r="B259" s="3" t="inlineStr">
        <is>
          <t>0</t>
        </is>
      </c>
      <c r="C259" s="3" t="inlineStr">
        <is>
          <t>Azure Service</t>
        </is>
      </c>
      <c r="D259" s="3" t="inlineStr">
        <is>
          <t>APRL</t>
        </is>
      </c>
      <c r="E259" s="3" t="inlineStr">
        <is>
          <t>Microsoft.Compute</t>
        </is>
      </c>
      <c r="F259" s="3" t="inlineStr">
        <is>
          <t>virtualMachines</t>
        </is>
      </c>
      <c r="G259" s="3" t="inlineStr">
        <is>
          <t>OtherBestPractices</t>
        </is>
      </c>
      <c r="H259" s="3" t="inlineStr">
        <is>
          <t>IP Forwarding should only be enabled for Network Virtual Appliances</t>
        </is>
      </c>
      <c r="I259" s="3" t="inlineStr">
        <is>
          <t>Medium</t>
        </is>
      </c>
      <c r="J259" s="3" t="inlineStr">
        <is>
          <t xml:space="preserve">IP forwarding allows a virtual machine network interface to receive and send network traffic not destined for or originating from its assigned IP addresses.
</t>
        </is>
      </c>
      <c r="K259" s="3" t="str">
        <f>HYPERLINK("https://learn.microsoft.com/azure/virtual-network/virtual-network-network-interface?tabs=network-interface-portal#enable-or-disable-ip-forwarding","https://learn.microsoft.com/azure/virtual-network/virtual-network-network-interface?tabs=network-interface-portal#enable-or-disable-ip-forwarding")</f>
      </c>
      <c r="L259" s="3" t="inlineStr">
        <is>
          <t>41a22a5e-5e08-9647-92d0-2ffe9ef1bdad</t>
        </is>
      </c>
    </row>
    <row r="260" s="2" customFormat="1">
      <c r="A260" s="2" t="inlineStr">
        <is>
          <t>N/A</t>
        </is>
      </c>
      <c r="B260" s="2" t="inlineStr">
        <is>
          <t>0</t>
        </is>
      </c>
      <c r="C260" s="2" t="inlineStr">
        <is>
          <t>Azure Service</t>
        </is>
      </c>
      <c r="D260" s="2" t="inlineStr">
        <is>
          <t>APRL</t>
        </is>
      </c>
      <c r="E260" s="2" t="inlineStr">
        <is>
          <t>Microsoft.Compute</t>
        </is>
      </c>
      <c r="F260" s="2" t="inlineStr">
        <is>
          <t>virtualMachines</t>
        </is>
      </c>
      <c r="G260" s="2" t="inlineStr">
        <is>
          <t>HighAvailability</t>
        </is>
      </c>
      <c r="H260" s="2" t="inlineStr">
        <is>
          <t>Use maintenance configurations for the Dedicated and/or Isolated VM SKUs</t>
        </is>
      </c>
      <c r="I260" s="2" t="inlineStr">
        <is>
          <t>Medium</t>
        </is>
      </c>
      <c r="J260" s="2" t="inlineStr">
        <is>
          <t xml:space="preserve">The maintenance configuration settings let users schedule and manage updates, making sure the updates or interruptions on the VM are performed within a planned timeframe.
</t>
        </is>
      </c>
      <c r="K260" s="2" t="str">
        <f>HYPERLINK("https://learn.microsoft.com/azure/virtual-machines/maintenance-configurations","https://learn.microsoft.com/azure/virtual-machines/maintenance-configurations")</f>
      </c>
      <c r="L260" s="2" t="inlineStr">
        <is>
          <t>52ab9e5c-eec0-3148-8bd7-b6dd9e1be870</t>
        </is>
      </c>
    </row>
    <row r="261" s="3" customFormat="1">
      <c r="A261" s="3" t="inlineStr">
        <is>
          <t>N/A</t>
        </is>
      </c>
      <c r="B261" s="3" t="inlineStr">
        <is>
          <t>0</t>
        </is>
      </c>
      <c r="C261" s="3" t="inlineStr">
        <is>
          <t>Azure Service</t>
        </is>
      </c>
      <c r="D261" s="3" t="inlineStr">
        <is>
          <t>APRL</t>
        </is>
      </c>
      <c r="E261" s="3" t="inlineStr">
        <is>
          <t>Microsoft.Compute</t>
        </is>
      </c>
      <c r="F261" s="3" t="inlineStr">
        <is>
          <t>virtualMachines</t>
        </is>
      </c>
      <c r="G261" s="3" t="inlineStr">
        <is>
          <t>OtherBestPractices</t>
        </is>
      </c>
      <c r="H261" s="3" t="inlineStr">
        <is>
          <t>When AccelNet is enabled, you must manually update the GuestOS NIC driver</t>
        </is>
      </c>
      <c r="I261" s="3" t="inlineStr">
        <is>
          <t>Low</t>
        </is>
      </c>
      <c r="J261" s="3" t="inlineStr">
        <is>
          <t xml:space="preserve">When Accelerated Networking is enabled, the default Azure VNet interface in GuestOS is swapped for a Mellanox, and its driver comes from a 3rd party. Marketplace images have the latest Mellanox drivers, but post-deployment, updating the driver is the user's responsibility.
</t>
        </is>
      </c>
      <c r="K261" s="3" t="str">
        <f>HYPERLINK("https://learn.microsoft.com/azure/virtual-network/accelerated-networking-overview","https://learn.microsoft.com/azure/virtual-network/accelerated-networking-overview")</f>
      </c>
      <c r="L261" s="3" t="inlineStr">
        <is>
          <t>73d1bb04-7d3e-0d47-bc0d-63afe773b5fe</t>
        </is>
      </c>
    </row>
    <row r="262" s="2" customFormat="1">
      <c r="A262" s="2" t="inlineStr">
        <is>
          <t>N/A</t>
        </is>
      </c>
      <c r="B262" s="2" t="inlineStr">
        <is>
          <t>0</t>
        </is>
      </c>
      <c r="C262" s="2" t="inlineStr">
        <is>
          <t>Azure Service</t>
        </is>
      </c>
      <c r="D262" s="2" t="inlineStr">
        <is>
          <t>APRL</t>
        </is>
      </c>
      <c r="E262" s="2" t="inlineStr">
        <is>
          <t>Microsoft.Compute</t>
        </is>
      </c>
      <c r="F262" s="2" t="inlineStr">
        <is>
          <t>virtualMachines</t>
        </is>
      </c>
      <c r="G262" s="2" t="inlineStr">
        <is>
          <t>Scalability</t>
        </is>
      </c>
      <c r="H262" s="2" t="inlineStr">
        <is>
          <t>Enable Accelerated Networking (AccelNet)</t>
        </is>
      </c>
      <c r="I262" s="2" t="inlineStr">
        <is>
          <t>Medium</t>
        </is>
      </c>
      <c r="J262" s="2" t="inlineStr">
        <is>
          <t xml:space="preserve">Accelerated networking enables SR-IOV to a VM, greatly improving its networking performance by bypassing the host from the data path, which reduces latency, jitter, and CPU utilization for demanding network workloads on supported VM types.
</t>
        </is>
      </c>
      <c r="K262" s="2" t="str">
        <f>HYPERLINK("https://learn.microsoft.com/azure/virtual-network/accelerated-networking-overview","https://learn.microsoft.com/azure/virtual-network/accelerated-networking-overview")</f>
      </c>
      <c r="L262" s="2" t="inlineStr">
        <is>
          <t>dfedbeb1-1519-fc47-86a5-52f96cf07105</t>
        </is>
      </c>
    </row>
    <row r="263" s="3" customFormat="1">
      <c r="A263" s="3" t="inlineStr">
        <is>
          <t>N/A</t>
        </is>
      </c>
      <c r="B263" s="3" t="inlineStr">
        <is>
          <t>0</t>
        </is>
      </c>
      <c r="C263" s="3" t="inlineStr">
        <is>
          <t>Azure Service</t>
        </is>
      </c>
      <c r="D263" s="3" t="inlineStr">
        <is>
          <t>APRL</t>
        </is>
      </c>
      <c r="E263" s="3" t="inlineStr">
        <is>
          <t>Microsoft.Compute</t>
        </is>
      </c>
      <c r="F263" s="3" t="inlineStr">
        <is>
          <t>virtualMachines</t>
        </is>
      </c>
      <c r="G263" s="3" t="inlineStr">
        <is>
          <t>HighAvailability</t>
        </is>
      </c>
      <c r="H263" s="3" t="inlineStr">
        <is>
          <t>Deploy VMs across Availability Zones</t>
        </is>
      </c>
      <c r="I263" s="3" t="inlineStr">
        <is>
          <t>High</t>
        </is>
      </c>
      <c r="J263" s="3" t="inlineStr">
        <is>
          <t xml:space="preserve">Azure Availability Zones, within each Azure region, are tolerant to local failures, protecting applications and data against unlikely Datacenter failures by being physically separate.
</t>
        </is>
      </c>
      <c r="K263" s="3" t="str">
        <f>HYPERLINK("https://learn.microsoft.com/azure/virtual-machines/create-portal-availability-zone?tabs=standard","https://learn.microsoft.com/azure/virtual-machines/create-portal-availability-zone?tabs=standard")</f>
      </c>
      <c r="L263" s="3" t="inlineStr">
        <is>
          <t>2bd0be95-a825-6f47-a8c6-3db1fb5eb387</t>
        </is>
      </c>
    </row>
    <row r="264" s="2" customFormat="1">
      <c r="A264" s="2" t="inlineStr">
        <is>
          <t>N/A</t>
        </is>
      </c>
      <c r="B264" s="2" t="inlineStr">
        <is>
          <t>0</t>
        </is>
      </c>
      <c r="C264" s="2" t="inlineStr">
        <is>
          <t>Azure Service</t>
        </is>
      </c>
      <c r="D264" s="2" t="inlineStr">
        <is>
          <t>APRL</t>
        </is>
      </c>
      <c r="E264" s="2" t="inlineStr">
        <is>
          <t>Microsoft.Compute</t>
        </is>
      </c>
      <c r="F264" s="2" t="inlineStr">
        <is>
          <t>virtualMachines</t>
        </is>
      </c>
      <c r="G264" s="2" t="inlineStr">
        <is>
          <t>DisasterRecovery</t>
        </is>
      </c>
      <c r="H264" s="2" t="inlineStr">
        <is>
          <t>Replicate VMs using Azure Site Recovery</t>
        </is>
      </c>
      <c r="I264" s="2" t="inlineStr">
        <is>
          <t>Medium</t>
        </is>
      </c>
      <c r="J264" s="2" t="inlineStr">
        <is>
          <t xml:space="preserve">Replicating Azure VMs via Site Recovery entails continuous, asynchronous disk replication to a target region. Recovery points are generated every few minutes, ensuring a Recovery Point Objective (RPO) in minutes.
</t>
        </is>
      </c>
      <c r="K264" s="2" t="str">
        <f>HYPERLINK("https://learn.microsoft.com/azure/architecture/checklist/resiliency-per-service#virtual-machines","https://learn.microsoft.com/azure/architecture/checklist/resiliency-per-service#virtual-machines")</f>
      </c>
      <c r="L264" s="2" t="inlineStr">
        <is>
          <t>cfe22a65-b1db-fd41-9e8e-d573922709ae</t>
        </is>
      </c>
    </row>
    <row r="265" s="3" customFormat="1">
      <c r="A265" s="3" t="inlineStr">
        <is>
          <t>N/A</t>
        </is>
      </c>
      <c r="B265" s="3" t="inlineStr">
        <is>
          <t>0</t>
        </is>
      </c>
      <c r="C265" s="3" t="inlineStr">
        <is>
          <t>Azure Service</t>
        </is>
      </c>
      <c r="D265" s="3" t="inlineStr">
        <is>
          <t>APRL</t>
        </is>
      </c>
      <c r="E265" s="3" t="inlineStr">
        <is>
          <t>Microsoft.Compute</t>
        </is>
      </c>
      <c r="F265" s="3" t="inlineStr">
        <is>
          <t>virtualMachines</t>
        </is>
      </c>
      <c r="G265" s="3" t="inlineStr">
        <is>
          <t>Scalability</t>
        </is>
      </c>
      <c r="H265" s="3" t="inlineStr">
        <is>
          <t>Mission Critical Workloads should consider using Premium or Ultra Disks</t>
        </is>
      </c>
      <c r="I265" s="3" t="inlineStr">
        <is>
          <t>High</t>
        </is>
      </c>
      <c r="J265" s="3" t="inlineStr">
        <is>
          <t xml:space="preserve">Compared to Standard HDD and SSD, Premium SSD, SSD v2, and Ultra Disks offer improved performance, configurability, and higher single-instance VM uptime SLAs. The lowest SLA of all disks on a VM applies, so it is best to use Premium or Ultra Disks for the highest uptime SLA.
</t>
        </is>
      </c>
      <c r="K265" s="3" t="str">
        <f>HYPERLINK("https://learn.microsoft.com/azure/virtual-machines/disks-types#disk-type-comparison","https://learn.microsoft.com/azure/virtual-machines/disks-types#disk-type-comparison")</f>
      </c>
      <c r="L265" s="3" t="inlineStr">
        <is>
          <t>df0ff862-814d-45a3-95e4-4fad5a244ba6</t>
        </is>
      </c>
    </row>
    <row r="266" s="2" customFormat="1">
      <c r="A266" s="2" t="inlineStr">
        <is>
          <t>N/A</t>
        </is>
      </c>
      <c r="B266" s="2" t="inlineStr">
        <is>
          <t>0</t>
        </is>
      </c>
      <c r="C266" s="2" t="inlineStr">
        <is>
          <t>Azure Service</t>
        </is>
      </c>
      <c r="D266" s="2" t="inlineStr">
        <is>
          <t>APRL</t>
        </is>
      </c>
      <c r="E266" s="2" t="inlineStr">
        <is>
          <t>Microsoft.Compute</t>
        </is>
      </c>
      <c r="F266" s="2" t="inlineStr">
        <is>
          <t>virtualMachines</t>
        </is>
      </c>
      <c r="G266" s="2" t="inlineStr">
        <is>
          <t>Scalability</t>
        </is>
      </c>
      <c r="H266" s="2" t="inlineStr">
        <is>
          <t>Don't use A or B-Series VMs for production needing constant full CPU performance</t>
        </is>
      </c>
      <c r="I266" s="2" t="inlineStr">
        <is>
          <t>High</t>
        </is>
      </c>
      <c r="J266" s="2" t="inlineStr">
        <is>
          <t xml:space="preserve">A-series VMs are tailored for entry-level workloads like development and testing, including use cases such as development and test servers, low traffic web servers, and small to medium databases.
</t>
        </is>
      </c>
      <c r="K266" s="2" t="str">
        <f>HYPERLINK("https://learn.microsoft.com/azure/virtual-machines/sizes-b-series-burstable","https://learn.microsoft.com/azure/virtual-machines/sizes-b-series-burstable")</f>
      </c>
      <c r="L266" s="2" t="inlineStr">
        <is>
          <t>3201dba8-d1da-4826-98a4-104066545170</t>
        </is>
      </c>
    </row>
    <row r="267" s="3" customFormat="1">
      <c r="A267" s="3" t="inlineStr">
        <is>
          <t>N/A</t>
        </is>
      </c>
      <c r="B267" s="3" t="inlineStr">
        <is>
          <t>0</t>
        </is>
      </c>
      <c r="C267" s="3" t="inlineStr">
        <is>
          <t>Azure Service</t>
        </is>
      </c>
      <c r="D267" s="3" t="inlineStr">
        <is>
          <t>APRL</t>
        </is>
      </c>
      <c r="E267" s="3" t="inlineStr">
        <is>
          <t>Microsoft.Compute</t>
        </is>
      </c>
      <c r="F267" s="3" t="inlineStr">
        <is>
          <t>virtualMachines</t>
        </is>
      </c>
      <c r="G267" s="3" t="inlineStr">
        <is>
          <t>HighAvailability</t>
        </is>
      </c>
      <c r="H267" s="3" t="inlineStr">
        <is>
          <t>Use Managed Disks for VM disks</t>
        </is>
      </c>
      <c r="I267" s="3" t="inlineStr">
        <is>
          <t>High</t>
        </is>
      </c>
      <c r="J267" s="3" t="inlineStr">
        <is>
          <t xml:space="preserve">Azure is retiring unmanaged disks on September 30, 2025. Users should plan the migration to avoid disruptions and maintain service reliability.
</t>
        </is>
      </c>
      <c r="K267" s="3" t="str">
        <f>HYPERLINK("https://learn.microsoft.com/azure/virtual-machines/unmanaged-disks-deprecation","https://learn.microsoft.com/azure/virtual-machines/unmanaged-disks-deprecation")</f>
      </c>
      <c r="L267" s="3" t="inlineStr">
        <is>
          <t>122d11d7-b91f-8747-a562-f56b79bcfbdc</t>
        </is>
      </c>
    </row>
    <row r="268" s="2" customFormat="1">
      <c r="A268" s="2" t="inlineStr">
        <is>
          <t>N/A</t>
        </is>
      </c>
      <c r="B268" s="2" t="inlineStr">
        <is>
          <t>0</t>
        </is>
      </c>
      <c r="C268" s="2" t="inlineStr">
        <is>
          <t>Azure Service</t>
        </is>
      </c>
      <c r="D268" s="2" t="inlineStr">
        <is>
          <t>AZQR</t>
        </is>
      </c>
      <c r="E268" s="2" t="inlineStr">
        <is>
          <t>microsoft.network</t>
        </is>
      </c>
      <c r="F268" s="2" t="inlineStr">
        <is>
          <t>virtualwans</t>
        </is>
      </c>
      <c r="G268" s="2" t="inlineStr">
        <is>
          <t>MonitoringAndAlerting</t>
        </is>
      </c>
      <c r="H268" s="2" t="inlineStr">
        <is>
          <t>Virtual WAN should have diagnostic settings enabled</t>
        </is>
      </c>
      <c r="I268" s="2" t="inlineStr">
        <is>
          <t>Low</t>
        </is>
      </c>
      <c r="J268" s="2" t="inlineStr">
        <is>
          <t/>
        </is>
      </c>
      <c r="K268" s="2" t="str">
        <f>HYPERLINK("https://learn.microsoft.com/en-us/azure/virtual-wan/monitor-virtual-wan","https://learn.microsoft.com/en-us/azure/virtual-wan/monitor-virtual-wan")</f>
      </c>
      <c r="L268" s="2" t="inlineStr">
        <is>
          <t>vwa-001</t>
        </is>
      </c>
    </row>
    <row r="269" s="3" customFormat="1">
      <c r="A269" s="3" t="inlineStr">
        <is>
          <t>N/A</t>
        </is>
      </c>
      <c r="B269" s="3" t="inlineStr">
        <is>
          <t>0</t>
        </is>
      </c>
      <c r="C269" s="3" t="inlineStr">
        <is>
          <t>Azure Service</t>
        </is>
      </c>
      <c r="D269" s="3" t="inlineStr">
        <is>
          <t>APRL</t>
        </is>
      </c>
      <c r="E269" s="3" t="inlineStr">
        <is>
          <t>Microsoft.StreamAnalytics</t>
        </is>
      </c>
      <c r="F269" s="3" t="inlineStr">
        <is>
          <t>streamingjobs</t>
        </is>
      </c>
      <c r="G269" s="3" t="inlineStr">
        <is>
          <t>Scalability</t>
        </is>
      </c>
      <c r="H269" s="3" t="inlineStr">
        <is>
          <t>Run jobs in your own dedicated Stream Analytics cluster for increased reliability and security</t>
        </is>
      </c>
      <c r="I269" s="3" t="inlineStr">
        <is>
          <t>Medium</t>
        </is>
      </c>
      <c r="J269" s="3" t="inlineStr">
        <is>
          <t xml:space="preserve">Stream Analytics cluster (dedicated) offers more reliable performance guarantees. All the jobs running on your cluster belong only to you. You can also have access to important features like private endpoints, Auto-Scaling, Vnet Support, etc.
</t>
        </is>
      </c>
      <c r="K269" s="3" t="str">
        <f>HYPERLINK("https://learn.microsoft.com/azure/stream-analytics/cluster-overview","https://learn.microsoft.com/azure/stream-analytics/cluster-overview")</f>
      </c>
      <c r="L269" s="3" t="inlineStr">
        <is>
          <t>e48a7227-5ec7-463a-b955-ee7cb598ded4</t>
        </is>
      </c>
    </row>
    <row r="270" s="2" customFormat="1">
      <c r="A270" s="2" t="inlineStr">
        <is>
          <t>N/A</t>
        </is>
      </c>
      <c r="B270" s="2" t="inlineStr">
        <is>
          <t>0</t>
        </is>
      </c>
      <c r="C270" s="2" t="inlineStr">
        <is>
          <t>Azure Service</t>
        </is>
      </c>
      <c r="D270" s="2" t="inlineStr">
        <is>
          <t>APRL</t>
        </is>
      </c>
      <c r="E270" s="2" t="inlineStr">
        <is>
          <t>Microsoft.StreamAnalytics</t>
        </is>
      </c>
      <c r="F270" s="2" t="inlineStr">
        <is>
          <t>streamingjobs</t>
        </is>
      </c>
      <c r="G270" s="2" t="inlineStr">
        <is>
          <t>HighAvailability</t>
        </is>
      </c>
      <c r="H270" s="2" t="inlineStr">
        <is>
          <t>Migrate Stream Analytics jobs to StandardV2 SKU</t>
        </is>
      </c>
      <c r="I270" s="2" t="inlineStr">
        <is>
          <t>High</t>
        </is>
      </c>
      <c r="J270" s="2" t="inlineStr">
        <is>
          <t xml:space="preserve">Configure Autoscale to allow your job to dynamically change the allocated number of Streaming Units (SU) based on load, metrics, and/or schedule.
</t>
        </is>
      </c>
      <c r="K270" s="2" t="str">
        <f>HYPERLINK("https://learn.microsoft.com/azure/stream-analytics/stream-analytics-streaming-unit-consumption","https://learn.microsoft.com/azure/stream-analytics/stream-analytics-streaming-unit-consumption")</f>
      </c>
      <c r="L270" s="2" t="inlineStr">
        <is>
          <t>5d40d3d4-179d-4cf5-ac24-901210f512e7</t>
        </is>
      </c>
    </row>
    <row r="271" s="3" customFormat="1">
      <c r="A271" s="3" t="inlineStr">
        <is>
          <t>N/A</t>
        </is>
      </c>
      <c r="B271" s="3" t="inlineStr">
        <is>
          <t>0</t>
        </is>
      </c>
      <c r="C271" s="3" t="inlineStr">
        <is>
          <t>Azure Service</t>
        </is>
      </c>
      <c r="D271" s="3" t="inlineStr">
        <is>
          <t>APRL</t>
        </is>
      </c>
      <c r="E271" s="3" t="inlineStr">
        <is>
          <t>Microsoft.VirtualMachineImages</t>
        </is>
      </c>
      <c r="F271" s="3" t="inlineStr">
        <is>
          <t>imageTemplates</t>
        </is>
      </c>
      <c r="G271" s="3" t="inlineStr">
        <is>
          <t>DisasterRecovery</t>
        </is>
      </c>
      <c r="H271" s="3" t="inlineStr">
        <is>
          <t>Replicate your Image Templates to a secondary region</t>
        </is>
      </c>
      <c r="I271" s="3" t="inlineStr">
        <is>
          <t>Low</t>
        </is>
      </c>
      <c r="J271" s="3" t="inlineStr">
        <is>
          <t xml:space="preserve">The Azure Image Builder service lacks availability zones support. Replicating Image Templates to a secondary region will enable the build of new images in secondary region.
</t>
        </is>
      </c>
      <c r="K271" s="3" t="str">
        <f>HYPERLINK("https://learn.microsoft.com/azure/reliability/reliability-image-builder?toc=%2Fazure%2Fvirtual-machines%2Ftoc.json&amp;bc=%2Fazure%2Fvirtual-machines%2Fbreadcrumb%2Ftoc.json&amp;tabs=graph#disaster-recovery","https://learn.microsoft.com/azure/reliability/reliability-image-builder?toc=%2Fazure%2Fvirtual-machines%2Ftoc.json&amp;bc=%2Fazure%2Fvirtual-machines%2Fbreadcrumb%2Ftoc.json&amp;tabs=graph#disaster-recovery")</f>
      </c>
      <c r="L271" s="3" t="inlineStr">
        <is>
          <t>21fb841b-ba70-1f4e-a460-1f72fb41aa51</t>
        </is>
      </c>
    </row>
    <row r="272" s="2" customFormat="1">
      <c r="A272" s="2" t="inlineStr">
        <is>
          <t>N/A</t>
        </is>
      </c>
      <c r="B272" s="2" t="inlineStr">
        <is>
          <t>0</t>
        </is>
      </c>
      <c r="C272" s="2" t="inlineStr">
        <is>
          <t>Azure Service</t>
        </is>
      </c>
      <c r="D272" s="2" t="inlineStr">
        <is>
          <t>AZQR</t>
        </is>
      </c>
      <c r="E272" s="2" t="inlineStr">
        <is>
          <t>Microsoft.Logic</t>
        </is>
      </c>
      <c r="F272" s="2" t="inlineStr">
        <is>
          <t>workflows</t>
        </is>
      </c>
      <c r="G272" s="2" t="inlineStr">
        <is>
          <t>Security</t>
        </is>
      </c>
      <c r="H272" s="2" t="inlineStr">
        <is>
          <t>Logic App should limit access to Http Triggers</t>
        </is>
      </c>
      <c r="I272" s="2" t="inlineStr">
        <is>
          <t>High</t>
        </is>
      </c>
      <c r="J272" s="2" t="inlineStr">
        <is>
          <t>Logic App should limit access to Http Triggers</t>
        </is>
      </c>
      <c r="K272" s="2" t="str">
        <f>HYPERLINK("https://learn.microsoft.com/azure/logic-apps/logic-apps-securing-a-logic-app","https://learn.microsoft.com/azure/logic-apps/logic-apps-securing-a-logic-app")</f>
      </c>
      <c r="L272" s="2" t="inlineStr">
        <is>
          <t>logic-004</t>
        </is>
      </c>
    </row>
    <row r="273" s="3" customFormat="1">
      <c r="A273" s="3" t="inlineStr">
        <is>
          <t>N/A</t>
        </is>
      </c>
      <c r="B273" s="3" t="inlineStr">
        <is>
          <t>0</t>
        </is>
      </c>
      <c r="C273" s="3" t="inlineStr">
        <is>
          <t>Azure Service</t>
        </is>
      </c>
      <c r="D273" s="3" t="inlineStr">
        <is>
          <t>AZQR</t>
        </is>
      </c>
      <c r="E273" s="3" t="inlineStr">
        <is>
          <t>microsoft.logic</t>
        </is>
      </c>
      <c r="F273" s="3" t="inlineStr">
        <is>
          <t>workflows</t>
        </is>
      </c>
      <c r="G273" s="3" t="inlineStr">
        <is>
          <t>MonitoringAndAlerting</t>
        </is>
      </c>
      <c r="H273" s="3" t="inlineStr">
        <is>
          <t>Logic App should have diagnostic settings enabled</t>
        </is>
      </c>
      <c r="I273" s="3" t="inlineStr">
        <is>
          <t>Low</t>
        </is>
      </c>
      <c r="J273" s="3" t="inlineStr">
        <is>
          <t/>
        </is>
      </c>
      <c r="K273" s="3" t="str">
        <f>HYPERLINK("https://learn.microsoft.com/en-us/azure/logic-apps/monitor-workflows-collect-diagnostic-data","https://learn.microsoft.com/en-us/azure/logic-apps/monitor-workflows-collect-diagnostic-data")</f>
      </c>
      <c r="L273" s="3" t="inlineStr">
        <is>
          <t>logic-001</t>
        </is>
      </c>
    </row>
    <row r="274" s="2" customFormat="1">
      <c r="A274" s="2" t="inlineStr">
        <is>
          <t>N/A</t>
        </is>
      </c>
      <c r="B274" s="2" t="inlineStr">
        <is>
          <t>0</t>
        </is>
      </c>
      <c r="C274" s="2" t="inlineStr">
        <is>
          <t>Azure Service</t>
        </is>
      </c>
      <c r="D274" s="2" t="inlineStr">
        <is>
          <t>AOR</t>
        </is>
      </c>
      <c r="E274" s="2" t="inlineStr">
        <is>
          <t>Microsoft.Network</t>
        </is>
      </c>
      <c r="F274" s="2" t="inlineStr">
        <is>
          <t>privateDnsZones</t>
        </is>
      </c>
      <c r="G274" s="2" t="inlineStr">
        <is>
          <t>Governance</t>
        </is>
      </c>
      <c r="H274" s="2" t="inlineStr">
        <is>
          <t>Private DNS zones without Virtual Network Links</t>
        </is>
      </c>
      <c r="I274" s="2" t="inlineStr">
        <is>
          <t>Medium</t>
        </is>
      </c>
      <c r="J274" s="2" t="inlineStr">
        <is>
          <t xml:space="preserve">Private DNS zones without Virtual Network Links.
</t>
        </is>
      </c>
      <c r="K274" s="2" t="str">
        <f>HYPERLINK("https://learn.microsoft.com/en-us/azure/dns/private-dns-privatednszone","https://learn.microsoft.com/en-us/azure/dns/private-dns-privatednszone")</f>
      </c>
      <c r="L274" s="2" t="inlineStr">
        <is>
          <t>7e8f9a0b-1c2d-3e4f-5a6b-7c8d9e0f1a2b</t>
        </is>
      </c>
    </row>
    <row r="275" s="3" customFormat="1">
      <c r="A275" s="3" t="inlineStr">
        <is>
          <t>N/A</t>
        </is>
      </c>
      <c r="B275" s="3" t="inlineStr">
        <is>
          <t>0</t>
        </is>
      </c>
      <c r="C275" s="3" t="inlineStr">
        <is>
          <t>Azure Service</t>
        </is>
      </c>
      <c r="D275" s="3" t="inlineStr">
        <is>
          <t>APRL</t>
        </is>
      </c>
      <c r="E275" s="3" t="inlineStr">
        <is>
          <t>Microsoft.Network</t>
        </is>
      </c>
      <c r="F275" s="3" t="inlineStr">
        <is>
          <t>privateDnsZones</t>
        </is>
      </c>
      <c r="G275" s="3" t="inlineStr">
        <is>
          <t>DisasterRecovery</t>
        </is>
      </c>
      <c r="H275" s="3" t="inlineStr">
        <is>
          <t>Ensure Time-To-Live (TTL) is set appropriately to ensure RTOs can be met</t>
        </is>
      </c>
      <c r="I275" s="3" t="inlineStr">
        <is>
          <t>Medium</t>
        </is>
      </c>
      <c r="J275" s="3" t="inlineStr">
        <is>
          <t xml:space="preserve">Azure Private DNS allows the Time-To-Live (TTL) for record sets in the zone to be set to a value between 1 and 2147483647 seconds. You should ensure that the TTL for the DNS record sets in your DNS Zones are set appropriately to meet your RTO targets.
</t>
        </is>
      </c>
      <c r="K275" s="3" t="str">
        <f>HYPERLINK("https://learn.microsoft.com/azure/reliability/reliability-dns","https://learn.microsoft.com/azure/reliability/reliability-dns")</f>
      </c>
      <c r="L275" s="3" t="inlineStr">
        <is>
          <t>3538aa48-c40b-455b-a93b-269fe6e65be2</t>
        </is>
      </c>
    </row>
    <row r="276" s="2" customFormat="1">
      <c r="A276" s="2" t="inlineStr">
        <is>
          <t>N/A</t>
        </is>
      </c>
      <c r="B276" s="2" t="inlineStr">
        <is>
          <t>0</t>
        </is>
      </c>
      <c r="C276" s="2" t="inlineStr">
        <is>
          <t>Azure Service</t>
        </is>
      </c>
      <c r="D276" s="2" t="inlineStr">
        <is>
          <t>APRL</t>
        </is>
      </c>
      <c r="E276" s="2" t="inlineStr">
        <is>
          <t>Microsoft.Network</t>
        </is>
      </c>
      <c r="F276" s="2" t="inlineStr">
        <is>
          <t>virtualHubs</t>
        </is>
      </c>
      <c r="G276" s="2" t="inlineStr">
        <is>
          <t>ServiceUpgradeAndRetirement</t>
        </is>
      </c>
      <c r="H276" s="2" t="inlineStr">
        <is>
          <t>Migrate from Basic to Standard Virtual WAN</t>
        </is>
      </c>
      <c r="I276" s="2" t="inlineStr">
        <is>
          <t>High</t>
        </is>
      </c>
      <c r="J276" s="2" t="inlineStr">
        <is>
          <t xml:space="preserve">Basic SKU is not recommended for critical workloads. Standard SKU provides important features Inter-hub and VNet-to-VNet transiting through the virtual hub, ExpressRoute, VPN and Point-to-Site Gateways, ability to deploy Azure Firewalls and NVAs.
</t>
        </is>
      </c>
      <c r="K276" s="2" t="str">
        <f>HYPERLINK("https://learn.microsoft.com/azure/virtual-wan/upgrade-virtual-wan","https://learn.microsoft.com/azure/virtual-wan/upgrade-virtual-wan")</f>
      </c>
      <c r="L276" s="2" t="inlineStr">
        <is>
          <t>f29e56a1-6a80-4295-a663-1cce0ea2b10a</t>
        </is>
      </c>
    </row>
    <row r="277" s="3" customFormat="1">
      <c r="A277" s="3" t="inlineStr">
        <is>
          <t>N/A</t>
        </is>
      </c>
      <c r="B277" s="3" t="inlineStr">
        <is>
          <t>0</t>
        </is>
      </c>
      <c r="C277" s="3" t="inlineStr">
        <is>
          <t>Azure Service</t>
        </is>
      </c>
      <c r="D277" s="3" t="inlineStr">
        <is>
          <t>APRL</t>
        </is>
      </c>
      <c r="E277" s="3" t="inlineStr">
        <is>
          <t>Microsoft.Network</t>
        </is>
      </c>
      <c r="F277" s="3" t="inlineStr">
        <is>
          <t>virtualHubs</t>
        </is>
      </c>
      <c r="G277" s="3" t="inlineStr">
        <is>
          <t>MonitoringAndAlerting</t>
        </is>
      </c>
      <c r="H277" s="3" t="inlineStr">
        <is>
          <t>Monitor health for v-Hubs</t>
        </is>
      </c>
      <c r="I277" s="3" t="inlineStr">
        <is>
          <t>Medium</t>
        </is>
      </c>
      <c r="J277" s="3" t="inlineStr">
        <is>
          <t xml:space="preserve">Set up monitoring and alerts for v-Hubs. Create alert rule for ensuring promptly response to changes in BGP status and Data processed by v-Hubs.
</t>
        </is>
      </c>
      <c r="K277" s="3" t="str">
        <f>HYPERLINK("https://learn.microsoft.com/azure/virtual-wan/monitoring-best-practices#virtual-hub","https://learn.microsoft.com/azure/virtual-wan/monitoring-best-practices#virtual-hub")</f>
      </c>
      <c r="L277" s="3" t="inlineStr">
        <is>
          <t>30ec8a5e-46de-4323-87e9-a7c56b72813b</t>
        </is>
      </c>
    </row>
    <row r="278" s="2" customFormat="1">
      <c r="A278" s="2" t="inlineStr">
        <is>
          <t>N/A</t>
        </is>
      </c>
      <c r="B278" s="2" t="inlineStr">
        <is>
          <t>0</t>
        </is>
      </c>
      <c r="C278" s="2" t="inlineStr">
        <is>
          <t>Azure Service</t>
        </is>
      </c>
      <c r="D278" s="2" t="inlineStr">
        <is>
          <t>AOR</t>
        </is>
      </c>
      <c r="E278" s="2" t="inlineStr">
        <is>
          <t>Microsoft.Compute</t>
        </is>
      </c>
      <c r="F278" s="2" t="inlineStr">
        <is>
          <t>availabilitySets</t>
        </is>
      </c>
      <c r="G278" s="2" t="inlineStr">
        <is>
          <t>Governance</t>
        </is>
      </c>
      <c r="H278" s="2" t="inlineStr">
        <is>
          <t>Availability Sets not associated to any VM or VMSS</t>
        </is>
      </c>
      <c r="I278" s="2" t="inlineStr">
        <is>
          <t>Medium</t>
        </is>
      </c>
      <c r="J278" s="2" t="inlineStr">
        <is>
          <t xml:space="preserve">Availability Sets not associated to any VM or VMSS.
</t>
        </is>
      </c>
      <c r="K278" s="2" t="str">
        <f>HYPERLINK("https://learn.microsoft.com/en-us/azure/virtual-machines/availability-set-overview","https://learn.microsoft.com/en-us/azure/virtual-machines/availability-set-overview")</f>
      </c>
      <c r="L278" s="2" t="inlineStr">
        <is>
          <t>2b3c4d5e-6f7a-8b9c-0d1e-2f3a4b5c6d7e</t>
        </is>
      </c>
    </row>
    <row r="279" s="3" customFormat="1">
      <c r="A279" s="3" t="inlineStr">
        <is>
          <t>N/A</t>
        </is>
      </c>
      <c r="B279" s="3" t="inlineStr">
        <is>
          <t>0</t>
        </is>
      </c>
      <c r="C279" s="3" t="inlineStr">
        <is>
          <t>Azure Service</t>
        </is>
      </c>
      <c r="D279" s="3" t="inlineStr">
        <is>
          <t>AZQR</t>
        </is>
      </c>
      <c r="E279" s="3" t="inlineStr">
        <is>
          <t>Microsoft.App</t>
        </is>
      </c>
      <c r="F279" s="3" t="inlineStr">
        <is>
          <t>containerApps</t>
        </is>
      </c>
      <c r="G279" s="3" t="inlineStr">
        <is>
          <t>Security</t>
        </is>
      </c>
      <c r="H279" s="3" t="inlineStr">
        <is>
          <t>ContainerApp should not allow insecure ingress traffic</t>
        </is>
      </c>
      <c r="I279" s="3" t="inlineStr">
        <is>
          <t>Low</t>
        </is>
      </c>
      <c r="J279" s="3" t="inlineStr">
        <is>
          <t xml:space="preserve">ContainerApps should not allow insecure HTTP traffic. All ingress traffic should use HTTPS to ensure data is encrypted in transit.
</t>
        </is>
      </c>
      <c r="K279" s="3" t="str">
        <f>HYPERLINK("https://learn.microsoft.com/en-us/azure/container-apps/ingress-how-to?pivots=azure-cli","https://learn.microsoft.com/en-us/azure/container-apps/ingress-how-to?pivots=azure-cli")</f>
      </c>
      <c r="L279" s="3" t="inlineStr">
        <is>
          <t>ca-008</t>
        </is>
      </c>
    </row>
    <row r="280" s="2" customFormat="1">
      <c r="A280" s="2" t="inlineStr">
        <is>
          <t>N/A</t>
        </is>
      </c>
      <c r="B280" s="2" t="inlineStr">
        <is>
          <t>0</t>
        </is>
      </c>
      <c r="C280" s="2" t="inlineStr">
        <is>
          <t>Azure Service</t>
        </is>
      </c>
      <c r="D280" s="2" t="inlineStr">
        <is>
          <t>AZQR</t>
        </is>
      </c>
      <c r="E280" s="2" t="inlineStr">
        <is>
          <t>Microsoft.App</t>
        </is>
      </c>
      <c r="F280" s="2" t="inlineStr">
        <is>
          <t>containerApps</t>
        </is>
      </c>
      <c r="G280" s="2" t="inlineStr">
        <is>
          <t>Security</t>
        </is>
      </c>
      <c r="H280" s="2" t="inlineStr">
        <is>
          <t>ContainerApp should use Managed Identities</t>
        </is>
      </c>
      <c r="I280" s="2" t="inlineStr">
        <is>
          <t>Low</t>
        </is>
      </c>
      <c r="J280" s="2" t="inlineStr">
        <is>
          <t xml:space="preserve">ContainerApps should use Managed Identities to authenticate with Azure services instead of storing credentials in code or configuration.
</t>
        </is>
      </c>
      <c r="K280" s="2" t="str">
        <f>HYPERLINK("https://learn.microsoft.com/en-us/azure/container-apps/managed-identity?tabs=portal%2Cdotnet","https://learn.microsoft.com/en-us/azure/container-apps/managed-identity?tabs=portal%2Cdotnet")</f>
      </c>
      <c r="L280" s="2" t="inlineStr">
        <is>
          <t>ca-009</t>
        </is>
      </c>
    </row>
    <row r="281" s="3" customFormat="1">
      <c r="A281" s="3" t="inlineStr">
        <is>
          <t>N/A</t>
        </is>
      </c>
      <c r="B281" s="3" t="inlineStr">
        <is>
          <t>0</t>
        </is>
      </c>
      <c r="C281" s="3" t="inlineStr">
        <is>
          <t>Azure Service</t>
        </is>
      </c>
      <c r="D281" s="3" t="inlineStr">
        <is>
          <t>AZQR</t>
        </is>
      </c>
      <c r="E281" s="3" t="inlineStr">
        <is>
          <t>Microsoft.App</t>
        </is>
      </c>
      <c r="F281" s="3" t="inlineStr">
        <is>
          <t>containerApps</t>
        </is>
      </c>
      <c r="G281" s="3" t="inlineStr">
        <is>
          <t>HighAvailability</t>
        </is>
      </c>
      <c r="H281" s="3" t="inlineStr">
        <is>
          <t>ContainerApp should use Azure Files to persist container data</t>
        </is>
      </c>
      <c r="I281" s="3" t="inlineStr">
        <is>
          <t>Low</t>
        </is>
      </c>
      <c r="J281" s="3" t="inlineStr">
        <is>
          <t xml:space="preserve">ContainerApps should use Azure Files for persistent storage to ensure data durability and availability across container restarts.
</t>
        </is>
      </c>
      <c r="K281" s="3" t="str">
        <f>HYPERLINK("https://learn.microsoft.com/en-us/azure/container-apps/storage-mounts?pivots=azure-cli","https://learn.microsoft.com/en-us/azure/container-apps/storage-mounts?pivots=azure-cli")</f>
      </c>
      <c r="L281" s="3" t="inlineStr">
        <is>
          <t>ca-010</t>
        </is>
      </c>
    </row>
    <row r="282" s="2" customFormat="1">
      <c r="A282" s="2" t="inlineStr">
        <is>
          <t>N/A</t>
        </is>
      </c>
      <c r="B282" s="2" t="inlineStr">
        <is>
          <t>0</t>
        </is>
      </c>
      <c r="C282" s="2" t="inlineStr">
        <is>
          <t>Azure Service</t>
        </is>
      </c>
      <c r="D282" s="2" t="inlineStr">
        <is>
          <t>AZQR</t>
        </is>
      </c>
      <c r="E282" s="2" t="inlineStr">
        <is>
          <t>Microsoft.App</t>
        </is>
      </c>
      <c r="F282" s="2" t="inlineStr">
        <is>
          <t>containerApps</t>
        </is>
      </c>
      <c r="G282" s="2" t="inlineStr">
        <is>
          <t>HighAvailability</t>
        </is>
      </c>
      <c r="H282" s="2" t="inlineStr">
        <is>
          <t>ContainerApp should avoid using session affinity</t>
        </is>
      </c>
      <c r="I282" s="2" t="inlineStr">
        <is>
          <t>Low</t>
        </is>
      </c>
      <c r="J282" s="2" t="inlineStr">
        <is>
          <t xml:space="preserve">ContainerApps should avoid using sticky sessions (session affinity)
as it can impact load distribution and high availability. Design applications
to be stateless when possible.
</t>
        </is>
      </c>
      <c r="K282" s="2" t="str">
        <f>HYPERLINK("https://learn.microsoft.com/en-us/azure/container-apps/sticky-sessions?pivots=azure-portal","https://learn.microsoft.com/en-us/azure/container-apps/sticky-sessions?pivots=azure-portal")</f>
      </c>
      <c r="L282" s="2" t="inlineStr">
        <is>
          <t>ca-011</t>
        </is>
      </c>
    </row>
    <row r="283" s="3" customFormat="1">
      <c r="A283" s="3" t="inlineStr">
        <is>
          <t>N/A</t>
        </is>
      </c>
      <c r="B283" s="3" t="inlineStr">
        <is>
          <t>0</t>
        </is>
      </c>
      <c r="C283" s="3" t="inlineStr">
        <is>
          <t>Azure Service</t>
        </is>
      </c>
      <c r="D283" s="3" t="inlineStr">
        <is>
          <t>APRL</t>
        </is>
      </c>
      <c r="E283" s="3" t="inlineStr">
        <is>
          <t>Microsoft.Network</t>
        </is>
      </c>
      <c r="F283" s="3" t="inlineStr">
        <is>
          <t>expressRouteGateways</t>
        </is>
      </c>
      <c r="G283" s="3" t="inlineStr">
        <is>
          <t>MonitoringAndAlerting</t>
        </is>
      </c>
      <c r="H283" s="3" t="inlineStr">
        <is>
          <t>Monitor health for ExpressRoute gateway</t>
        </is>
      </c>
      <c r="I283" s="3" t="inlineStr">
        <is>
          <t>High</t>
        </is>
      </c>
      <c r="J283" s="3" t="inlineStr">
        <is>
          <t xml:space="preserve">Set up monitoring and alerts for ExpressRoute Gateway. Create alert rule for ensuring promptly response to critical events such as exceeding packets per second, exceeding BGP routes prefixes, Gateway overutilization and high frequency in route changes.
</t>
        </is>
      </c>
      <c r="K283" s="3" t="str">
        <f>HYPERLINK("https://learn.microsoft.com/azure/virtual-wan/monitoring-best-practices#expressroute-gateway","https://learn.microsoft.com/azure/virtual-wan/monitoring-best-practices#expressroute-gateway")</f>
      </c>
      <c r="L283" s="3" t="inlineStr">
        <is>
          <t>17e8d380-e4b4-41a1-9b37-2e4df9fd5125</t>
        </is>
      </c>
    </row>
    <row r="284" s="2" customFormat="1">
      <c r="A284" s="2" t="inlineStr">
        <is>
          <t>N/A</t>
        </is>
      </c>
      <c r="B284" s="2" t="inlineStr">
        <is>
          <t>0</t>
        </is>
      </c>
      <c r="C284" s="2" t="inlineStr">
        <is>
          <t>Azure Service</t>
        </is>
      </c>
      <c r="D284" s="2" t="inlineStr">
        <is>
          <t>APRL</t>
        </is>
      </c>
      <c r="E284" s="2" t="inlineStr">
        <is>
          <t>Microsoft.Network</t>
        </is>
      </c>
      <c r="F284" s="2" t="inlineStr">
        <is>
          <t>expressRouteGateways</t>
        </is>
      </c>
      <c r="G284" s="2" t="inlineStr">
        <is>
          <t>HighAvailability</t>
        </is>
      </c>
      <c r="H284" s="2" t="inlineStr">
        <is>
          <t>Avoid using ExpressRoute circuits for VNet to VNet communication</t>
        </is>
      </c>
      <c r="I284" s="2" t="inlineStr">
        <is>
          <t>Medium</t>
        </is>
      </c>
      <c r="J284" s="2" t="inlineStr">
        <is>
          <t xml:space="preserve">Avoid using ExpressRoute circuits for VNet to VNet communication. Use Virtual WAN to connect VNets in different regions. This feature is enabled at the ExpressRoute circuit level but reflected in the Virtual WAN resource.
</t>
        </is>
      </c>
      <c r="K284" s="2" t="str">
        <f>HYPERLINK("https://techcommunity.microsoft.com/t5/azure-networking-blog/customisation-controls-for-connectivity-between-virtual-networks/ba-p/4147722","https://techcommunity.microsoft.com/t5/azure-networking-blog/customisation-controls-for-connectivity-between-virtual-networks/ba-p/4147722")</f>
      </c>
      <c r="L284" s="2" t="inlineStr">
        <is>
          <t>560a76a7-8f64-4ce3-ad27-d174468861a1</t>
        </is>
      </c>
    </row>
    <row r="285" s="3" customFormat="1">
      <c r="A285" s="3" t="inlineStr">
        <is>
          <t>N/A</t>
        </is>
      </c>
      <c r="B285" s="3" t="inlineStr">
        <is>
          <t>0</t>
        </is>
      </c>
      <c r="C285" s="3" t="inlineStr">
        <is>
          <t>Azure Service</t>
        </is>
      </c>
      <c r="D285" s="3" t="inlineStr">
        <is>
          <t>AZQR</t>
        </is>
      </c>
      <c r="E285" s="3" t="inlineStr">
        <is>
          <t>Microsoft.Fabric</t>
        </is>
      </c>
      <c r="F285" s="3" t="inlineStr">
        <is>
          <t>capacities</t>
        </is>
      </c>
      <c r="G285" s="3" t="inlineStr">
        <is>
          <t>Governance</t>
        </is>
      </c>
      <c r="H285" s="3" t="inlineStr">
        <is>
          <t>Fabric Capacity should use Fabric (F) SKU tier for production workloads</t>
        </is>
      </c>
      <c r="I285" s="3" t="inlineStr">
        <is>
          <t>Medium</t>
        </is>
      </c>
      <c r="J285" s="3" t="inlineStr">
        <is>
          <t xml:space="preserve">Fabric Capacity should use the Fabric (F) SKU tier for production
workloads to ensure proper performance and support levels.
</t>
        </is>
      </c>
      <c r="K285" s="3" t="str">
        <f>HYPERLINK("https://learn.microsoft.com/en-us/fabric/enterprise/licenses","https://learn.microsoft.com/en-us/fabric/enterprise/licenses")</f>
      </c>
      <c r="L285" s="3" t="inlineStr">
        <is>
          <t>fabric-006</t>
        </is>
      </c>
    </row>
    <row r="286" s="2" customFormat="1">
      <c r="A286" s="2" t="inlineStr">
        <is>
          <t>N/A</t>
        </is>
      </c>
      <c r="B286" s="2" t="inlineStr">
        <is>
          <t>0</t>
        </is>
      </c>
      <c r="C286" s="2" t="inlineStr">
        <is>
          <t>Azure Service</t>
        </is>
      </c>
      <c r="D286" s="2" t="inlineStr">
        <is>
          <t>AZQR</t>
        </is>
      </c>
      <c r="E286" s="2" t="inlineStr">
        <is>
          <t>Microsoft.Fabric</t>
        </is>
      </c>
      <c r="F286" s="2" t="inlineStr">
        <is>
          <t>capacities</t>
        </is>
      </c>
      <c r="G286" s="2" t="inlineStr">
        <is>
          <t>OtherBestPractices</t>
        </is>
      </c>
      <c r="H286" s="2" t="inlineStr">
        <is>
          <t>Fabric Capacity should be in Active state</t>
        </is>
      </c>
      <c r="I286" s="2" t="inlineStr">
        <is>
          <t>Medium</t>
        </is>
      </c>
      <c r="J286" s="2" t="inlineStr">
        <is>
          <t xml:space="preserve">Fabric Capacity should be in Active state to be available for
use. Paused capacities are not available for processing workloads.
</t>
        </is>
      </c>
      <c r="K286" s="2" t="str">
        <f>HYPERLINK("https://learn.microsoft.com/en-us/fabric/enterprise/pause-resume","https://learn.microsoft.com/en-us/fabric/enterprise/pause-resume")</f>
      </c>
      <c r="L286" s="2" t="inlineStr">
        <is>
          <t>fabric-004</t>
        </is>
      </c>
    </row>
    <row r="287" s="3" customFormat="1">
      <c r="A287" s="3" t="inlineStr">
        <is>
          <t>N/A</t>
        </is>
      </c>
      <c r="B287" s="3" t="inlineStr">
        <is>
          <t>0</t>
        </is>
      </c>
      <c r="C287" s="3" t="inlineStr">
        <is>
          <t>Azure Service</t>
        </is>
      </c>
      <c r="D287" s="3" t="inlineStr">
        <is>
          <t>AZQR</t>
        </is>
      </c>
      <c r="E287" s="3" t="inlineStr">
        <is>
          <t>Microsoft.Fabric</t>
        </is>
      </c>
      <c r="F287" s="3" t="inlineStr">
        <is>
          <t>capacities</t>
        </is>
      </c>
      <c r="G287" s="3" t="inlineStr">
        <is>
          <t>Security</t>
        </is>
      </c>
      <c r="H287" s="3" t="inlineStr">
        <is>
          <t>Fabric Capacity should have administrators configured</t>
        </is>
      </c>
      <c r="I287" s="3" t="inlineStr">
        <is>
          <t>Medium</t>
        </is>
      </c>
      <c r="J287" s="3" t="inlineStr">
        <is>
          <t xml:space="preserve">Fabric Capacity should have administrators configured to ensure
proper management and security oversight of the capacity.
</t>
        </is>
      </c>
      <c r="K287" s="3" t="str">
        <f>HYPERLINK("https://learn.microsoft.com/en-us/fabric/admin/capacity-settings","https://learn.microsoft.com/en-us/fabric/admin/capacity-settings")</f>
      </c>
      <c r="L287" s="3" t="inlineStr">
        <is>
          <t>fabric-005</t>
        </is>
      </c>
    </row>
    <row r="288" s="2" customFormat="1">
      <c r="A288" s="2" t="inlineStr">
        <is>
          <t>N/A</t>
        </is>
      </c>
      <c r="B288" s="2" t="inlineStr">
        <is>
          <t>0</t>
        </is>
      </c>
      <c r="C288" s="2" t="inlineStr">
        <is>
          <t>Azure Service</t>
        </is>
      </c>
      <c r="D288" s="2" t="inlineStr">
        <is>
          <t>AOR</t>
        </is>
      </c>
      <c r="E288" s="2" t="inlineStr">
        <is>
          <t>Microsoft.Resources</t>
        </is>
      </c>
      <c r="F288" s="2" t="inlineStr">
        <is>
          <t>resourceGroups</t>
        </is>
      </c>
      <c r="G288" s="2" t="inlineStr">
        <is>
          <t>Governance</t>
        </is>
      </c>
      <c r="H288" s="2" t="inlineStr">
        <is>
          <t>Resource Groups without resources</t>
        </is>
      </c>
      <c r="I288" s="2" t="inlineStr">
        <is>
          <t>Medium</t>
        </is>
      </c>
      <c r="J288" s="2" t="inlineStr">
        <is>
          <t xml:space="preserve">Resource Groups without resources.
</t>
        </is>
      </c>
      <c r="K288" s="2" t="str">
        <f>HYPERLINK("https://learn.microsoft.com/en-us/azure/azure-resource-manager/management/overview","https://learn.microsoft.com/en-us/azure/azure-resource-manager/management/overview")</f>
      </c>
      <c r="L288" s="2" t="inlineStr">
        <is>
          <t>1c2d3e4f-5a6b-7c8d-9e0f-1a2b3c4d5e6f</t>
        </is>
      </c>
    </row>
    <row r="289" s="3" customFormat="1">
      <c r="A289" s="3" t="inlineStr">
        <is>
          <t>N/A</t>
        </is>
      </c>
      <c r="B289" s="3" t="inlineStr">
        <is>
          <t>0</t>
        </is>
      </c>
      <c r="C289" s="3" t="inlineStr">
        <is>
          <t>Azure Service</t>
        </is>
      </c>
      <c r="D289" s="3" t="inlineStr">
        <is>
          <t>APRL</t>
        </is>
      </c>
      <c r="E289" s="3" t="inlineStr">
        <is>
          <t>Microsoft.Network</t>
        </is>
      </c>
      <c r="F289" s="3" t="inlineStr">
        <is>
          <t>vpnGateways</t>
        </is>
      </c>
      <c r="G289" s="3" t="inlineStr">
        <is>
          <t>MonitoringAndAlerting</t>
        </is>
      </c>
      <c r="H289" s="3" t="inlineStr">
        <is>
          <t>Monitor gateway for Site-to-site v-Hub's VPN gateway</t>
        </is>
      </c>
      <c r="I289" s="3" t="inlineStr">
        <is>
          <t>Medium</t>
        </is>
      </c>
      <c r="J289" s="3" t="inlineStr">
        <is>
          <t xml:space="preserve">Set up monitoring and alerts for v-Hub's VPN Gateway. Create alert rule for ensuring promptly response to critical events such as packet drop counts, BGP status, Gateway over utilization. Mission Critical workloads should use dual ExpressRoutes instead of VPN.
</t>
        </is>
      </c>
      <c r="K289" s="3" t="str">
        <f>HYPERLINK("https://learn.microsoft.com/azure/virtual-wan/monitoring-best-practices#virtual-wan-gateways","https://learn.microsoft.com/azure/virtual-wan/monitoring-best-practices#virtual-wan-gateways")</f>
      </c>
      <c r="L289" s="3" t="inlineStr">
        <is>
          <t>f0d4f766-ac19-48c4-b228-4601cc038baa</t>
        </is>
      </c>
    </row>
    <row r="290" s="2" customFormat="1">
      <c r="A290" s="2" t="inlineStr">
        <is>
          <t>N/A</t>
        </is>
      </c>
      <c r="B290" s="2" t="inlineStr">
        <is>
          <t>0</t>
        </is>
      </c>
      <c r="C290" s="2" t="inlineStr">
        <is>
          <t>Azure Service</t>
        </is>
      </c>
      <c r="D290" s="2" t="inlineStr">
        <is>
          <t>APRL</t>
        </is>
      </c>
      <c r="E290" s="2" t="inlineStr">
        <is>
          <t>Microsoft.Network</t>
        </is>
      </c>
      <c r="F290" s="2" t="inlineStr">
        <is>
          <t>connections</t>
        </is>
      </c>
      <c r="G290" s="2" t="inlineStr">
        <is>
          <t>Scalability</t>
        </is>
      </c>
      <c r="H290" s="2" t="inlineStr">
        <is>
          <t>For better data path performance enable FastPath on ExpressRoute Connections</t>
        </is>
      </c>
      <c r="I290" s="2" t="inlineStr">
        <is>
          <t>Medium</t>
        </is>
      </c>
      <c r="J290" s="2" t="inlineStr">
        <is>
          <t xml:space="preserve">ExpressRoute gateways facilitate network traffic and route exchanges. FastPath enhances on-premises to virtual network data path performance by directing traffic straight to virtual machines, bypassing the gateway for improved resiliency through reduced gateway utilization.
</t>
        </is>
      </c>
      <c r="K290" s="2" t="str">
        <f>HYPERLINK("https://learn.microsoft.com/azure/expressroute/about-fastpath","https://learn.microsoft.com/azure/expressroute/about-fastpath")</f>
      </c>
      <c r="L290" s="2" t="inlineStr">
        <is>
          <t>f6a14b32-a727-4ace-b5fa-7b1c6bdff402</t>
        </is>
      </c>
    </row>
    <row r="291" s="3" customFormat="1">
      <c r="A291" s="3" t="inlineStr">
        <is>
          <t>N/A</t>
        </is>
      </c>
      <c r="B291" s="3" t="inlineStr">
        <is>
          <t>0</t>
        </is>
      </c>
      <c r="C291" s="3" t="inlineStr">
        <is>
          <t>Azure Service</t>
        </is>
      </c>
      <c r="D291" s="3" t="inlineStr">
        <is>
          <t>APRL</t>
        </is>
      </c>
      <c r="E291" s="3" t="inlineStr">
        <is>
          <t>Microsoft.Network</t>
        </is>
      </c>
      <c r="F291" s="3" t="inlineStr">
        <is>
          <t>loadBalancers</t>
        </is>
      </c>
      <c r="G291" s="3" t="inlineStr">
        <is>
          <t>HighAvailability</t>
        </is>
      </c>
      <c r="H291" s="3" t="inlineStr">
        <is>
          <t>Use NAT Gateway instead of Outbound Rules for Production Workloads</t>
        </is>
      </c>
      <c r="I291" s="3" t="inlineStr">
        <is>
          <t>Medium</t>
        </is>
      </c>
      <c r="J291" s="3" t="inlineStr">
        <is>
          <t xml:space="preserve">Outbound rules for Standard Public Load Balancer involve manual port allocation for backend pools, limiting scalability and risk of SNAT port exhaustion. NAT Gateway is recommended for its dynamic scaling and secure internet connectivity.
</t>
        </is>
      </c>
      <c r="K291" s="3" t="str">
        <f>HYPERLINK("https://learn.microsoft.com/azure/architecture/checklist/resiliency-per-service#azure-load-balancer","https://learn.microsoft.com/azure/architecture/checklist/resiliency-per-service#azure-load-balancer")</f>
      </c>
      <c r="L291" s="3" t="inlineStr">
        <is>
          <t>8d319a05-677b-944f-b9b4-ca0fb42e883c</t>
        </is>
      </c>
    </row>
    <row r="292" s="2" customFormat="1">
      <c r="A292" s="2" t="inlineStr">
        <is>
          <t>N/A</t>
        </is>
      </c>
      <c r="B292" s="2" t="inlineStr">
        <is>
          <t>0</t>
        </is>
      </c>
      <c r="C292" s="2" t="inlineStr">
        <is>
          <t>Azure Service</t>
        </is>
      </c>
      <c r="D292" s="2" t="inlineStr">
        <is>
          <t>AZQR</t>
        </is>
      </c>
      <c r="E292" s="2" t="inlineStr">
        <is>
          <t>microsoft.network</t>
        </is>
      </c>
      <c r="F292" s="2" t="inlineStr">
        <is>
          <t>loadbalancers</t>
        </is>
      </c>
      <c r="G292" s="2" t="inlineStr">
        <is>
          <t>MonitoringAndAlerting</t>
        </is>
      </c>
      <c r="H292" s="2" t="inlineStr">
        <is>
          <t>Load Balancer should have diagnostic settings enabled</t>
        </is>
      </c>
      <c r="I292" s="2" t="inlineStr">
        <is>
          <t>Low</t>
        </is>
      </c>
      <c r="J292" s="2" t="inlineStr">
        <is>
          <t/>
        </is>
      </c>
      <c r="K292" s="2" t="str">
        <f>HYPERLINK("https://learn.microsoft.com/en-us/azure/load-balancer/monitor-load-balancer#creating-a-diagnostic-setting","https://learn.microsoft.com/en-us/azure/load-balancer/monitor-load-balancer#creating-a-diagnostic-setting")</f>
      </c>
      <c r="L292" s="2" t="inlineStr">
        <is>
          <t>lb-001</t>
        </is>
      </c>
    </row>
    <row r="293" s="3" customFormat="1">
      <c r="A293" s="3" t="inlineStr">
        <is>
          <t>N/A</t>
        </is>
      </c>
      <c r="B293" s="3" t="inlineStr">
        <is>
          <t>0</t>
        </is>
      </c>
      <c r="C293" s="3" t="inlineStr">
        <is>
          <t>Azure Service</t>
        </is>
      </c>
      <c r="D293" s="3" t="inlineStr">
        <is>
          <t>AOR</t>
        </is>
      </c>
      <c r="E293" s="3" t="inlineStr">
        <is>
          <t>Microsoft.Network</t>
        </is>
      </c>
      <c r="F293" s="3" t="inlineStr">
        <is>
          <t>loadBalancers</t>
        </is>
      </c>
      <c r="G293" s="3" t="inlineStr">
        <is>
          <t>Governance</t>
        </is>
      </c>
      <c r="H293" s="3" t="inlineStr">
        <is>
          <t>Load Balancers with empty backend address pools</t>
        </is>
      </c>
      <c r="I293" s="3" t="inlineStr">
        <is>
          <t>Medium</t>
        </is>
      </c>
      <c r="J293" s="3" t="inlineStr">
        <is>
          <t xml:space="preserve">Load Balancers with empty backend address pools.
</t>
        </is>
      </c>
      <c r="K293" s="3" t="str">
        <f>HYPERLINK("https://learn.microsoft.com/en-us/azure/load-balancer/load-balancer-overview","https://learn.microsoft.com/en-us/azure/load-balancer/load-balancer-overview")</f>
      </c>
      <c r="L293" s="3" t="inlineStr">
        <is>
          <t>9c0d1e2f-3a4b-5c6d-7e8f-9a0b1c2d3e4f</t>
        </is>
      </c>
    </row>
    <row r="294" s="2" customFormat="1">
      <c r="A294" s="2" t="inlineStr">
        <is>
          <t>N/A</t>
        </is>
      </c>
      <c r="B294" s="2" t="inlineStr">
        <is>
          <t>0</t>
        </is>
      </c>
      <c r="C294" s="2" t="inlineStr">
        <is>
          <t>Azure Service</t>
        </is>
      </c>
      <c r="D294" s="2" t="inlineStr">
        <is>
          <t>APRL</t>
        </is>
      </c>
      <c r="E294" s="2" t="inlineStr">
        <is>
          <t>Microsoft.Network</t>
        </is>
      </c>
      <c r="F294" s="2" t="inlineStr">
        <is>
          <t>loadBalancers</t>
        </is>
      </c>
      <c r="G294" s="2" t="inlineStr">
        <is>
          <t>HighAvailability</t>
        </is>
      </c>
      <c r="H294" s="2" t="inlineStr">
        <is>
          <t>Ensure Standard Load Balancer is zone-redundant</t>
        </is>
      </c>
      <c r="I294" s="2" t="inlineStr">
        <is>
          <t>High</t>
        </is>
      </c>
      <c r="J294" s="2" t="inlineStr">
        <is>
          <t xml:space="preserve">In regions with Availability Zones, assigning a zone-redundant frontend IP to a Standard Load Balancer ensures continuous traffic distribution even if one availability zone fails, provided other healthy zones and backend instances are available to receive the traffic.
</t>
        </is>
      </c>
      <c r="K294" s="2" t="str">
        <f>HYPERLINK("https://learn.microsoft.com/azure/load-balancer/load-balancer-standard-availability-zones#zone-redundant","https://learn.microsoft.com/azure/load-balancer/load-balancer-standard-availability-zones#zone-redundant")</f>
      </c>
      <c r="L294" s="2" t="inlineStr">
        <is>
          <t>621dbc78-3745-4d32-8eac-9e65b27b7512</t>
        </is>
      </c>
    </row>
    <row r="295" s="3" customFormat="1">
      <c r="A295" s="3" t="inlineStr">
        <is>
          <t>N/A</t>
        </is>
      </c>
      <c r="B295" s="3" t="inlineStr">
        <is>
          <t>0</t>
        </is>
      </c>
      <c r="C295" s="3" t="inlineStr">
        <is>
          <t>Azure Service</t>
        </is>
      </c>
      <c r="D295" s="3" t="inlineStr">
        <is>
          <t>APRL</t>
        </is>
      </c>
      <c r="E295" s="3" t="inlineStr">
        <is>
          <t>Microsoft.Network</t>
        </is>
      </c>
      <c r="F295" s="3" t="inlineStr">
        <is>
          <t>loadBalancers</t>
        </is>
      </c>
      <c r="G295" s="3" t="inlineStr">
        <is>
          <t>HighAvailability</t>
        </is>
      </c>
      <c r="H295" s="3" t="inlineStr">
        <is>
          <t>Use Standard Load Balancer SKU</t>
        </is>
      </c>
      <c r="I295" s="3" t="inlineStr">
        <is>
          <t>High</t>
        </is>
      </c>
      <c r="J295" s="3" t="inlineStr">
        <is>
          <t xml:space="preserve">Selecting Standard SKU Load Balancer enhances reliability through availability zones and zone resiliency, ensuring deployments withstand zone and region failures. Unlike Basic, it supports global load balancing and offers an SLA.
</t>
        </is>
      </c>
      <c r="K295" s="3" t="str">
        <f>HYPERLINK("https://learn.microsoft.com/azure/architecture/framework/services/networking/azure-load-balancer/reliability","https://learn.microsoft.com/azure/architecture/framework/services/networking/azure-load-balancer/reliability")</f>
      </c>
      <c r="L295" s="3" t="inlineStr">
        <is>
          <t>38c3bca1-97a1-eb42-8cd3-838b243f35ba</t>
        </is>
      </c>
    </row>
    <row r="296" s="2" customFormat="1">
      <c r="A296" s="2" t="inlineStr">
        <is>
          <t>N/A</t>
        </is>
      </c>
      <c r="B296" s="2" t="inlineStr">
        <is>
          <t>0</t>
        </is>
      </c>
      <c r="C296" s="2" t="inlineStr">
        <is>
          <t>Azure Service</t>
        </is>
      </c>
      <c r="D296" s="2" t="inlineStr">
        <is>
          <t>APRL</t>
        </is>
      </c>
      <c r="E296" s="2" t="inlineStr">
        <is>
          <t>Microsoft.Network</t>
        </is>
      </c>
      <c r="F296" s="2" t="inlineStr">
        <is>
          <t>loadBalancers</t>
        </is>
      </c>
      <c r="G296" s="2" t="inlineStr">
        <is>
          <t>HighAvailability</t>
        </is>
      </c>
      <c r="H296" s="2" t="inlineStr">
        <is>
          <t>Ensure the Backend Pool contains at least two instances</t>
        </is>
      </c>
      <c r="I296" s="2" t="inlineStr">
        <is>
          <t>High</t>
        </is>
      </c>
      <c r="J296" s="2" t="inlineStr">
        <is>
          <t xml:space="preserve">Deploying Azure Load Balancers with at least two instances in the backend prevents a single point of failure and supports scalability. Pairing with Virtual Machine Scale Sets is advised for optimal scale building.
</t>
        </is>
      </c>
      <c r="K296" s="2" t="str">
        <f>HYPERLINK("https://learn.microsoft.com/azure/architecture/checklist/resiliency-per-service#azure-load-balancer","https://learn.microsoft.com/azure/architecture/checklist/resiliency-per-service#azure-load-balancer")</f>
      </c>
      <c r="L296" s="2" t="inlineStr">
        <is>
          <t>6d82d042-6d61-ad49-86f0-6a5455398081</t>
        </is>
      </c>
    </row>
    <row r="297" s="3" customFormat="1">
      <c r="A297" s="3" t="inlineStr">
        <is>
          <t>N/A</t>
        </is>
      </c>
      <c r="B297" s="3" t="inlineStr">
        <is>
          <t>0</t>
        </is>
      </c>
      <c r="C297" s="3" t="inlineStr">
        <is>
          <t>Azure Service</t>
        </is>
      </c>
      <c r="D297" s="3" t="inlineStr">
        <is>
          <t>AZQR</t>
        </is>
      </c>
      <c r="E297" s="3" t="inlineStr">
        <is>
          <t>Microsoft.EventHub</t>
        </is>
      </c>
      <c r="F297" s="3" t="inlineStr">
        <is>
          <t>namespaces</t>
        </is>
      </c>
      <c r="G297" s="3" t="inlineStr">
        <is>
          <t>Security</t>
        </is>
      </c>
      <c r="H297" s="3" t="inlineStr">
        <is>
          <t>Event Hub Namespace should have private endpoints enabled</t>
        </is>
      </c>
      <c r="I297" s="3" t="inlineStr">
        <is>
          <t>High</t>
        </is>
      </c>
      <c r="J297" s="3" t="inlineStr">
        <is>
          <t>Event Hub Namespace should have private endpoints enabled</t>
        </is>
      </c>
      <c r="K297" s="3" t="str">
        <f>HYPERLINK("https://learn.microsoft.com/azure/event-hubs/private-link-service","https://learn.microsoft.com/azure/event-hubs/private-link-service")</f>
      </c>
      <c r="L297" s="3" t="inlineStr">
        <is>
          <t>evh-004</t>
        </is>
      </c>
    </row>
    <row r="298" s="2" customFormat="1">
      <c r="A298" s="2" t="inlineStr">
        <is>
          <t>N/A</t>
        </is>
      </c>
      <c r="B298" s="2" t="inlineStr">
        <is>
          <t>0</t>
        </is>
      </c>
      <c r="C298" s="2" t="inlineStr">
        <is>
          <t>Azure Service</t>
        </is>
      </c>
      <c r="D298" s="2" t="inlineStr">
        <is>
          <t>AZQR</t>
        </is>
      </c>
      <c r="E298" s="2" t="inlineStr">
        <is>
          <t>Microsoft.EventHub</t>
        </is>
      </c>
      <c r="F298" s="2" t="inlineStr">
        <is>
          <t>namespaces</t>
        </is>
      </c>
      <c r="G298" s="2" t="inlineStr">
        <is>
          <t>Security</t>
        </is>
      </c>
      <c r="H298" s="2" t="inlineStr">
        <is>
          <t>Event Hub should have local authentication disabled</t>
        </is>
      </c>
      <c r="I298" s="2" t="inlineStr">
        <is>
          <t>Medium</t>
        </is>
      </c>
      <c r="J298" s="2" t="inlineStr">
        <is>
          <t>Event Hub should have local authentication disabled</t>
        </is>
      </c>
      <c r="K298" s="2" t="str">
        <f>HYPERLINK("https://learn.microsoft.com/azure/event-hubs/authenticate-application","https://learn.microsoft.com/azure/event-hubs/authenticate-application")</f>
      </c>
      <c r="L298" s="2" t="inlineStr">
        <is>
          <t>evh-008</t>
        </is>
      </c>
    </row>
    <row r="299" s="3" customFormat="1">
      <c r="A299" s="3" t="inlineStr">
        <is>
          <t>N/A</t>
        </is>
      </c>
      <c r="B299" s="3" t="inlineStr">
        <is>
          <t>0</t>
        </is>
      </c>
      <c r="C299" s="3" t="inlineStr">
        <is>
          <t>Azure Service</t>
        </is>
      </c>
      <c r="D299" s="3" t="inlineStr">
        <is>
          <t>AZQR</t>
        </is>
      </c>
      <c r="E299" s="3" t="inlineStr">
        <is>
          <t>microsoft.eventhub</t>
        </is>
      </c>
      <c r="F299" s="3" t="inlineStr">
        <is>
          <t>namespaces</t>
        </is>
      </c>
      <c r="G299" s="3" t="inlineStr">
        <is>
          <t>MonitoringAndAlerting</t>
        </is>
      </c>
      <c r="H299" s="3" t="inlineStr">
        <is>
          <t>Event Hub Namespace should have diagnostic settings enabled</t>
        </is>
      </c>
      <c r="I299" s="3" t="inlineStr">
        <is>
          <t>Low</t>
        </is>
      </c>
      <c r="J299" s="3" t="inlineStr">
        <is>
          <t/>
        </is>
      </c>
      <c r="K299" s="3" t="str">
        <f>HYPERLINK("https://learn.microsoft.com/en-us/azure/event-hubs/monitor-event-hubs#collection-and-routing","https://learn.microsoft.com/en-us/azure/event-hubs/monitor-event-hubs#collection-and-routing")</f>
      </c>
      <c r="L299" s="3" t="inlineStr">
        <is>
          <t>evh-001</t>
        </is>
      </c>
    </row>
    <row r="300" s="2" customFormat="1">
      <c r="A300" s="2" t="inlineStr">
        <is>
          <t>N/A</t>
        </is>
      </c>
      <c r="B300" s="2" t="inlineStr">
        <is>
          <t>0</t>
        </is>
      </c>
      <c r="C300" s="2" t="inlineStr">
        <is>
          <t>Azure Service</t>
        </is>
      </c>
      <c r="D300" s="2" t="inlineStr">
        <is>
          <t>APRL</t>
        </is>
      </c>
      <c r="E300" s="2" t="inlineStr">
        <is>
          <t>Microsoft.EventHub</t>
        </is>
      </c>
      <c r="F300" s="2" t="inlineStr">
        <is>
          <t>namespaces</t>
        </is>
      </c>
      <c r="G300" s="2" t="inlineStr">
        <is>
          <t>HighAvailability</t>
        </is>
      </c>
      <c r="H300" s="2" t="inlineStr">
        <is>
          <t>Ensure zone redundancy is enabled in supported regions</t>
        </is>
      </c>
      <c r="I300" s="2" t="inlineStr">
        <is>
          <t>High</t>
        </is>
      </c>
      <c r="J300" s="2" t="inlineStr">
        <is>
          <t xml:space="preserve">When using the Azure portal, zone redundancy is automatically enabled. However, some Infrastructure as Code (IaC) tools may default this to false. To ensure replication of metadata and events across data centers in an availability zone, always verify that zone redundancy is enabled.
</t>
        </is>
      </c>
      <c r="K300" s="2" t="str">
        <f>HYPERLINK("https://learn.microsoft.com/azure/event-hubs/event-hubs-geo-dr?tabs=portal#availability-zones","https://learn.microsoft.com/azure/event-hubs/event-hubs-geo-dr?tabs=portal#availability-zones")</f>
      </c>
      <c r="L300" s="2" t="inlineStr">
        <is>
          <t>84636c6c-b317-4722-b603-7b1ffc16384b</t>
        </is>
      </c>
    </row>
    <row r="301" s="3" customFormat="1">
      <c r="A301" s="3" t="inlineStr">
        <is>
          <t>N/A</t>
        </is>
      </c>
      <c r="B301" s="3" t="inlineStr">
        <is>
          <t>0</t>
        </is>
      </c>
      <c r="C301" s="3" t="inlineStr">
        <is>
          <t>Azure Service</t>
        </is>
      </c>
      <c r="D301" s="3" t="inlineStr">
        <is>
          <t>APRL</t>
        </is>
      </c>
      <c r="E301" s="3" t="inlineStr">
        <is>
          <t>Microsoft.EventHub</t>
        </is>
      </c>
      <c r="F301" s="3" t="inlineStr">
        <is>
          <t>namespaces</t>
        </is>
      </c>
      <c r="G301" s="3" t="inlineStr">
        <is>
          <t>Scalability</t>
        </is>
      </c>
      <c r="H301" s="3" t="inlineStr">
        <is>
          <t>Enable auto-inflate on Event Hub Standard tier</t>
        </is>
      </c>
      <c r="I301" s="3" t="inlineStr">
        <is>
          <t>High</t>
        </is>
      </c>
      <c r="J301" s="3" t="inlineStr">
        <is>
          <t xml:space="preserve">Enable auto-inflate on Event Hub Standard tier namespaces to automatically scale up throughput units (TUs), meeting usage needs and preventing data ingress or egress throttle scenarios by adjusting to allowed rates.
</t>
        </is>
      </c>
      <c r="K301" s="3" t="str">
        <f>HYPERLINK("https://learn.microsoft.com/azure/event-hubs/event-hubs-auto-inflate","https://learn.microsoft.com/azure/event-hubs/event-hubs-auto-inflate")</f>
      </c>
      <c r="L301" s="3" t="inlineStr">
        <is>
          <t>fbfef3df-04a5-41b2-a8fd-b8541eb04956</t>
        </is>
      </c>
    </row>
    <row r="302" s="2" customFormat="1">
      <c r="A302" s="2" t="inlineStr">
        <is>
          <t>N/A</t>
        </is>
      </c>
      <c r="B302" s="2" t="inlineStr">
        <is>
          <t>0</t>
        </is>
      </c>
      <c r="C302" s="2" t="inlineStr">
        <is>
          <t>Azure Service</t>
        </is>
      </c>
      <c r="D302" s="2" t="inlineStr">
        <is>
          <t>APRL</t>
        </is>
      </c>
      <c r="E302" s="2" t="inlineStr">
        <is>
          <t>Microsoft.Devices</t>
        </is>
      </c>
      <c r="F302" s="2" t="inlineStr">
        <is>
          <t>IotHubs</t>
        </is>
      </c>
      <c r="G302" s="2" t="inlineStr">
        <is>
          <t>HighAvailability</t>
        </is>
      </c>
      <c r="H302" s="2" t="inlineStr">
        <is>
          <t>Do not use free tier</t>
        </is>
      </c>
      <c r="I302" s="2" t="inlineStr">
        <is>
          <t>High</t>
        </is>
      </c>
      <c r="J302" s="2" t="inlineStr">
        <is>
          <t xml:space="preserve">In a production scenario, the IoT Hub tier should not be Free because the Free tier does not provide the necessary Service Level Agreement.
</t>
        </is>
      </c>
      <c r="K302" s="2" t="str">
        <f>HYPERLINK("https://learn.microsoft.com/azure/iot-hub/iot-hub-scaling","https://learn.microsoft.com/azure/iot-hub/iot-hub-scaling")</f>
      </c>
      <c r="L302" s="2" t="inlineStr">
        <is>
          <t>eeba3a49-fef0-481f-a471-7ff01139b474</t>
        </is>
      </c>
    </row>
    <row r="303" s="3" customFormat="1">
      <c r="A303" s="3" t="inlineStr">
        <is>
          <t>N/A</t>
        </is>
      </c>
      <c r="B303" s="3" t="inlineStr">
        <is>
          <t>0</t>
        </is>
      </c>
      <c r="C303" s="3" t="inlineStr">
        <is>
          <t>Azure Service</t>
        </is>
      </c>
      <c r="D303" s="3" t="inlineStr">
        <is>
          <t>APRL</t>
        </is>
      </c>
      <c r="E303" s="3" t="inlineStr">
        <is>
          <t>Microsoft.Devices</t>
        </is>
      </c>
      <c r="F303" s="3" t="inlineStr">
        <is>
          <t>IotHubs</t>
        </is>
      </c>
      <c r="G303" s="3" t="inlineStr">
        <is>
          <t>Scalability</t>
        </is>
      </c>
      <c r="H303" s="3" t="inlineStr">
        <is>
          <t>Use Device Provisioning Service</t>
        </is>
      </c>
      <c r="I303" s="3" t="inlineStr">
        <is>
          <t>High</t>
        </is>
      </c>
      <c r="J303" s="3" t="inlineStr">
        <is>
          <t xml:space="preserve">Device Provisioning Service (DPS) enables easy redistribution of IoT devices for scaling and availability, allowing devices to be reassigned and not bound to specific IoT Hub instances. Devices in IoT Hubs using DPS should be verified for DPS utilization.
</t>
        </is>
      </c>
      <c r="K303" s="3" t="str">
        <f>HYPERLINK("https://learn.microsoft.com/azure/iot-dps/concepts-service","https://learn.microsoft.com/azure/iot-dps/concepts-service")</f>
      </c>
      <c r="L303" s="3" t="inlineStr">
        <is>
          <t>b1e1378d-4572-4414-bebd-b8872a6d4d1c</t>
        </is>
      </c>
    </row>
    <row r="304" s="2" customFormat="1">
      <c r="A304" s="2" t="inlineStr">
        <is>
          <t>N/A</t>
        </is>
      </c>
      <c r="B304" s="2" t="inlineStr">
        <is>
          <t>0</t>
        </is>
      </c>
      <c r="C304" s="2" t="inlineStr">
        <is>
          <t>Azure Service</t>
        </is>
      </c>
      <c r="D304" s="2" t="inlineStr">
        <is>
          <t>APRL</t>
        </is>
      </c>
      <c r="E304" s="2" t="inlineStr">
        <is>
          <t>Microsoft.Devices</t>
        </is>
      </c>
      <c r="F304" s="2" t="inlineStr">
        <is>
          <t>IotHubs</t>
        </is>
      </c>
      <c r="G304" s="2" t="inlineStr">
        <is>
          <t>MonitoringAndAlerting</t>
        </is>
      </c>
      <c r="H304" s="2" t="inlineStr">
        <is>
          <t>Disabled Fallback Route</t>
        </is>
      </c>
      <c r="I304" s="2" t="inlineStr">
        <is>
          <t>Low</t>
        </is>
      </c>
      <c r="J304" s="2" t="inlineStr">
        <is>
          <t xml:space="preserve">Using message routing for custom endpoints in IoT Hub, messages might not reach these destinations if specific conditions are unmet. A default route ensures all messages are received, but disabling this safety net risks leaving some messages undelivered.
</t>
        </is>
      </c>
      <c r="K304" s="2" t="str">
        <f>HYPERLINK("https://learn.microsoft.com/azure/iot-hub/iot-hub-devguide-messages-d2c#fallback-route","https://learn.microsoft.com/azure/iot-hub/iot-hub-devguide-messages-d2c#fallback-route")</f>
      </c>
      <c r="L304" s="2" t="inlineStr">
        <is>
          <t>e7dbd21f-b27a-4b8c-a901-cedb1e6d8e1e</t>
        </is>
      </c>
    </row>
    <row r="305" s="3" customFormat="1">
      <c r="A305" s="3" t="inlineStr">
        <is>
          <t>true</t>
        </is>
      </c>
      <c r="B305" s="3" t="inlineStr">
        <is>
          <t>0</t>
        </is>
      </c>
      <c r="C305" s="3" t="inlineStr">
        <is>
          <t>Azure Service</t>
        </is>
      </c>
      <c r="D305" s="3" t="inlineStr">
        <is>
          <t>APRL</t>
        </is>
      </c>
      <c r="E305" s="3" t="inlineStr">
        <is>
          <t>Microsoft.Network</t>
        </is>
      </c>
      <c r="F305" s="3" t="inlineStr">
        <is>
          <t>networkWatchers</t>
        </is>
      </c>
      <c r="G305" s="3" t="inlineStr">
        <is>
          <t>MonitoringAndAlerting</t>
        </is>
      </c>
      <c r="H305" s="3" t="inlineStr">
        <is>
          <t>Deploy Network Watcher in all regions where you have networking services</t>
        </is>
      </c>
      <c r="I305" s="3" t="inlineStr">
        <is>
          <t>Low</t>
        </is>
      </c>
      <c r="J305" s="3" t="inlineStr">
        <is>
          <t xml:space="preserve">Azure Network Watcher offers tools for monitoring, diagnosing, viewing metrics, and managing logs for IaaS resources. It helps maintain the health of VMs, VNets, application gateways, load balancers, but not for PaaS or Web analytics.
</t>
        </is>
      </c>
      <c r="K305" s="3" t="str">
        <f>HYPERLINK("https://learn.microsoft.com/azure/network-watcher/network-watcher-overview","https://learn.microsoft.com/azure/network-watcher/network-watcher-overview")</f>
      </c>
      <c r="L305" s="3" t="inlineStr">
        <is>
          <t>4e133bd0-8762-bc40-a95b-b29142427d73</t>
        </is>
      </c>
    </row>
    <row r="306" s="2" customFormat="1">
      <c r="A306" s="2" t="inlineStr">
        <is>
          <t>false</t>
        </is>
      </c>
      <c r="B306" s="2" t="inlineStr">
        <is>
          <t>1</t>
        </is>
      </c>
      <c r="C306" s="2" t="inlineStr">
        <is>
          <t>Azure Service</t>
        </is>
      </c>
      <c r="D306" s="2" t="inlineStr">
        <is>
          <t>APRL</t>
        </is>
      </c>
      <c r="E306" s="2" t="inlineStr">
        <is>
          <t>Microsoft.Network</t>
        </is>
      </c>
      <c r="F306" s="2" t="inlineStr">
        <is>
          <t>networkWatchers</t>
        </is>
      </c>
      <c r="G306" s="2" t="inlineStr">
        <is>
          <t>MonitoringAndAlerting</t>
        </is>
      </c>
      <c r="H306" s="2" t="inlineStr">
        <is>
          <t>Configure Network Watcher Connection monitor</t>
        </is>
      </c>
      <c r="I306" s="2" t="inlineStr">
        <is>
          <t>Medium</t>
        </is>
      </c>
      <c r="J306" s="2" t="inlineStr">
        <is>
          <t xml:space="preserve">Improves monitoring for Azure and Hybrid connectivity
</t>
        </is>
      </c>
      <c r="K306" s="2" t="str">
        <f>HYPERLINK("https://learn.microsoft.com/azure/network-watcher/connection-monitor-overview","https://learn.microsoft.com/azure/network-watcher/connection-monitor-overview")</f>
      </c>
      <c r="L306" s="2" t="inlineStr">
        <is>
          <t>1e28bbc1-1eb7-486f-8d7f-93943f40219c</t>
        </is>
      </c>
    </row>
    <row r="307" s="3" customFormat="1">
      <c r="A307" s="3" t="inlineStr">
        <is>
          <t>N/A</t>
        </is>
      </c>
      <c r="B307" s="3" t="inlineStr">
        <is>
          <t>0</t>
        </is>
      </c>
      <c r="C307" s="3" t="inlineStr">
        <is>
          <t>Azure Service</t>
        </is>
      </c>
      <c r="D307" s="3" t="inlineStr">
        <is>
          <t>AZQR</t>
        </is>
      </c>
      <c r="E307" s="3" t="inlineStr">
        <is>
          <t>Microsoft.DBforPostgreSQL</t>
        </is>
      </c>
      <c r="F307" s="3" t="inlineStr">
        <is>
          <t>servers</t>
        </is>
      </c>
      <c r="G307" s="3" t="inlineStr">
        <is>
          <t>Security</t>
        </is>
      </c>
      <c r="H307" s="3" t="inlineStr">
        <is>
          <t>PostgreSQL should have private endpoints enabled</t>
        </is>
      </c>
      <c r="I307" s="3" t="inlineStr">
        <is>
          <t>High</t>
        </is>
      </c>
      <c r="J307" s="3" t="inlineStr">
        <is>
          <t>PostgreSQL should have private endpoints enabled</t>
        </is>
      </c>
      <c r="K307" s="3" t="str">
        <f>HYPERLINK("https://learn.microsoft.com/azure/postgresql/single-server/concepts-data-access-and-security-private-link","https://learn.microsoft.com/azure/postgresql/single-server/concepts-data-access-and-security-private-link")</f>
      </c>
      <c r="L307" s="3" t="inlineStr">
        <is>
          <t>psql-004</t>
        </is>
      </c>
    </row>
    <row r="308" s="2" customFormat="1">
      <c r="A308" s="2" t="inlineStr">
        <is>
          <t>N/A</t>
        </is>
      </c>
      <c r="B308" s="2" t="inlineStr">
        <is>
          <t>0</t>
        </is>
      </c>
      <c r="C308" s="2" t="inlineStr">
        <is>
          <t>Azure Service</t>
        </is>
      </c>
      <c r="D308" s="2" t="inlineStr">
        <is>
          <t>AZQR</t>
        </is>
      </c>
      <c r="E308" s="2" t="inlineStr">
        <is>
          <t>Microsoft.DBforPostgreSQL</t>
        </is>
      </c>
      <c r="F308" s="2" t="inlineStr">
        <is>
          <t>servers</t>
        </is>
      </c>
      <c r="G308" s="2" t="inlineStr">
        <is>
          <t>Security</t>
        </is>
      </c>
      <c r="H308" s="2" t="inlineStr">
        <is>
          <t>PostgreSQL should enforce SSL</t>
        </is>
      </c>
      <c r="I308" s="2" t="inlineStr">
        <is>
          <t>High</t>
        </is>
      </c>
      <c r="J308" s="2" t="inlineStr">
        <is>
          <t>PostgreSQL should enforce SSL</t>
        </is>
      </c>
      <c r="K308" s="2" t="str">
        <f>HYPERLINK("https://learn.microsoft.com/azure/postgresql/single-server/concepts-ssl-connection-security","https://learn.microsoft.com/azure/postgresql/single-server/concepts-ssl-connection-security")</f>
      </c>
      <c r="L308" s="2" t="inlineStr">
        <is>
          <t>psql-008</t>
        </is>
      </c>
    </row>
    <row r="309" s="3" customFormat="1">
      <c r="A309" s="3" t="inlineStr">
        <is>
          <t>N/A</t>
        </is>
      </c>
      <c r="B309" s="3" t="inlineStr">
        <is>
          <t>0</t>
        </is>
      </c>
      <c r="C309" s="3" t="inlineStr">
        <is>
          <t>Azure Service</t>
        </is>
      </c>
      <c r="D309" s="3" t="inlineStr">
        <is>
          <t>AZQR</t>
        </is>
      </c>
      <c r="E309" s="3" t="inlineStr">
        <is>
          <t>Microsoft.DBforPostgreSQL</t>
        </is>
      </c>
      <c r="F309" s="3" t="inlineStr">
        <is>
          <t>servers</t>
        </is>
      </c>
      <c r="G309" s="3" t="inlineStr">
        <is>
          <t>Security</t>
        </is>
      </c>
      <c r="H309" s="3" t="inlineStr">
        <is>
          <t>PostgreSQL should enforce TLS &gt;= 1.2</t>
        </is>
      </c>
      <c r="I309" s="3" t="inlineStr">
        <is>
          <t>Low</t>
        </is>
      </c>
      <c r="J309" s="3" t="inlineStr">
        <is>
          <t>PostgreSQL should enforce TLS &gt;= 1.2</t>
        </is>
      </c>
      <c r="K309" s="3" t="str">
        <f>HYPERLINK("https://learn.microsoft.com/azure/postgresql/single-server/concepts-ssl-connection-security","https://learn.microsoft.com/azure/postgresql/single-server/concepts-ssl-connection-security")</f>
      </c>
      <c r="L309" s="3" t="inlineStr">
        <is>
          <t>psql-009</t>
        </is>
      </c>
    </row>
    <row r="310" s="2" customFormat="1">
      <c r="A310" s="2" t="inlineStr">
        <is>
          <t>N/A</t>
        </is>
      </c>
      <c r="B310" s="2" t="inlineStr">
        <is>
          <t>0</t>
        </is>
      </c>
      <c r="C310" s="2" t="inlineStr">
        <is>
          <t>Azure Service</t>
        </is>
      </c>
      <c r="D310" s="2" t="inlineStr">
        <is>
          <t>AZQR</t>
        </is>
      </c>
      <c r="E310" s="2" t="inlineStr">
        <is>
          <t>microsoft.dbforpostgresql</t>
        </is>
      </c>
      <c r="F310" s="2" t="inlineStr">
        <is>
          <t>servers</t>
        </is>
      </c>
      <c r="G310" s="2" t="inlineStr">
        <is>
          <t>MonitoringAndAlerting</t>
        </is>
      </c>
      <c r="H310" s="2" t="inlineStr">
        <is>
          <t>PostgreSQL should have diagnostic settings enabled</t>
        </is>
      </c>
      <c r="I310" s="2" t="inlineStr">
        <is>
          <t>Low</t>
        </is>
      </c>
      <c r="J310" s="2" t="inlineStr">
        <is>
          <t/>
        </is>
      </c>
      <c r="K310" s="2" t="str">
        <f>HYPERLINK("https://learn.microsoft.com/en-us/azure/postgresql/single-server/concepts-server-logs#resource-logs","https://learn.microsoft.com/en-us/azure/postgresql/single-server/concepts-server-logs#resource-logs")</f>
      </c>
      <c r="L310" s="2" t="inlineStr">
        <is>
          <t>psql-001</t>
        </is>
      </c>
    </row>
    <row r="311" s="3" customFormat="1">
      <c r="A311" s="3" t="inlineStr">
        <is>
          <t>true</t>
        </is>
      </c>
      <c r="B311" s="3" t="inlineStr">
        <is>
          <t>0</t>
        </is>
      </c>
      <c r="C311" s="3" t="inlineStr">
        <is>
          <t>Azure Service</t>
        </is>
      </c>
      <c r="D311" s="3" t="inlineStr">
        <is>
          <t>AZQR</t>
        </is>
      </c>
      <c r="E311" s="3" t="inlineStr">
        <is>
          <t>microsoft.storage</t>
        </is>
      </c>
      <c r="F311" s="3" t="inlineStr">
        <is>
          <t>storageaccounts</t>
        </is>
      </c>
      <c r="G311" s="3" t="inlineStr">
        <is>
          <t>MonitoringAndAlerting</t>
        </is>
      </c>
      <c r="H311" s="3" t="inlineStr">
        <is>
          <t>Storage should have diagnostic settings enabled</t>
        </is>
      </c>
      <c r="I311" s="3" t="inlineStr">
        <is>
          <t>Low</t>
        </is>
      </c>
      <c r="J311" s="3" t="inlineStr">
        <is>
          <t/>
        </is>
      </c>
      <c r="K311" s="3" t="str">
        <f>HYPERLINK("https://learn.microsoft.com/en-us/azure/storage/blobs/monitor-blob-storage","https://learn.microsoft.com/en-us/azure/storage/blobs/monitor-blob-storage")</f>
      </c>
      <c r="L311" s="3" t="inlineStr">
        <is>
          <t>st-001</t>
        </is>
      </c>
    </row>
    <row r="312" s="2" customFormat="1">
      <c r="A312" s="2" t="inlineStr">
        <is>
          <t>false</t>
        </is>
      </c>
      <c r="B312" s="2" t="inlineStr">
        <is>
          <t>1</t>
        </is>
      </c>
      <c r="C312" s="2" t="inlineStr">
        <is>
          <t>Azure Service</t>
        </is>
      </c>
      <c r="D312" s="2" t="inlineStr">
        <is>
          <t>AZQR</t>
        </is>
      </c>
      <c r="E312" s="2" t="inlineStr">
        <is>
          <t>Microsoft.Storage</t>
        </is>
      </c>
      <c r="F312" s="2" t="inlineStr">
        <is>
          <t>storageAccounts</t>
        </is>
      </c>
      <c r="G312" s="2" t="inlineStr">
        <is>
          <t>DisasterRecovery</t>
        </is>
      </c>
      <c r="H312" s="2" t="inlineStr">
        <is>
          <t>Storage Account should have immutable storage versioning enabled</t>
        </is>
      </c>
      <c r="I312" s="2" t="inlineStr">
        <is>
          <t>Low</t>
        </is>
      </c>
      <c r="J312" s="2" t="inlineStr">
        <is>
          <t>Storage Account should have immutable storage with versioning enabled to protect against accidental or malicious data deletion or modification.</t>
        </is>
      </c>
      <c r="K312" s="2" t="str">
        <f>HYPERLINK("https://learn.microsoft.com/en-us/azure/well-architected/service-guides/storage-accounts/reliability","https://learn.microsoft.com/en-us/azure/well-architected/service-guides/storage-accounts/reliability")</f>
      </c>
      <c r="L312" s="2" t="inlineStr">
        <is>
          <t>st-010</t>
        </is>
      </c>
    </row>
    <row r="313" s="3" customFormat="1">
      <c r="A313" s="3" t="inlineStr">
        <is>
          <t>true</t>
        </is>
      </c>
      <c r="B313" s="3" t="inlineStr">
        <is>
          <t>0</t>
        </is>
      </c>
      <c r="C313" s="3" t="inlineStr">
        <is>
          <t>Azure Service</t>
        </is>
      </c>
      <c r="D313" s="3" t="inlineStr">
        <is>
          <t>APRL</t>
        </is>
      </c>
      <c r="E313" s="3" t="inlineStr">
        <is>
          <t>Microsoft.Storage</t>
        </is>
      </c>
      <c r="F313" s="3" t="inlineStr">
        <is>
          <t>storageAccounts</t>
        </is>
      </c>
      <c r="G313" s="3" t="inlineStr">
        <is>
          <t>HighAvailability</t>
        </is>
      </c>
      <c r="H313" s="3" t="inlineStr">
        <is>
          <t>Ensure that storage accounts are zone or region redundant</t>
        </is>
      </c>
      <c r="I313" s="3" t="inlineStr">
        <is>
          <t>High</t>
        </is>
      </c>
      <c r="J313" s="3" t="inlineStr">
        <is>
          <t xml:space="preserve">Redundancy ensures storage accounts meet availability and durability targets amidst failures, weighing lower costs against higher availability. Locally redundant storage offers the least durability at the lowest cost.
</t>
        </is>
      </c>
      <c r="K313" s="3" t="str">
        <f>HYPERLINK("https://learn.microsoft.com/azure/storage/common/storage-redundancy","https://learn.microsoft.com/azure/storage/common/storage-redundancy")</f>
      </c>
      <c r="L313" s="3" t="inlineStr">
        <is>
          <t>e6c7e1cc-2f47-264d-aa50-1da421314472</t>
        </is>
      </c>
    </row>
    <row r="314" s="2" customFormat="1">
      <c r="A314" s="2" t="inlineStr">
        <is>
          <t>true</t>
        </is>
      </c>
      <c r="B314" s="2" t="inlineStr">
        <is>
          <t>0</t>
        </is>
      </c>
      <c r="C314" s="2" t="inlineStr">
        <is>
          <t>Azure Service</t>
        </is>
      </c>
      <c r="D314" s="2" t="inlineStr">
        <is>
          <t>APRL</t>
        </is>
      </c>
      <c r="E314" s="2" t="inlineStr">
        <is>
          <t>Microsoft.Storage</t>
        </is>
      </c>
      <c r="F314" s="2" t="inlineStr">
        <is>
          <t>storageAccounts</t>
        </is>
      </c>
      <c r="G314" s="2" t="inlineStr">
        <is>
          <t>Scalability</t>
        </is>
      </c>
      <c r="H314" s="2" t="inlineStr">
        <is>
          <t>Consider upgrading legacy storage accounts to v2 storage accounts</t>
        </is>
      </c>
      <c r="I314" s="2" t="inlineStr">
        <is>
          <t>Low</t>
        </is>
      </c>
      <c r="J314" s="2" t="inlineStr">
        <is>
          <t xml:space="preserve">General-purpose v2 accounts are recommended for most storage scenarios offering the latest features or the lowest per-gigabyte pricing. Legacy accounts like Standard general-purpose v1 and Blob Storage aren't advised by Microsoft but may fit specific scenarios.
</t>
        </is>
      </c>
      <c r="K314" s="2" t="str">
        <f>HYPERLINK("https://learn.microsoft.com/azure/storage/common/storage-account-upgrade","https://learn.microsoft.com/azure/storage/common/storage-account-upgrade")</f>
      </c>
      <c r="L314" s="2" t="inlineStr">
        <is>
          <t>2ad78dec-5a4d-4a30-8fd1-8584335ad781</t>
        </is>
      </c>
    </row>
    <row r="315" s="3" customFormat="1">
      <c r="A315" s="3" t="inlineStr">
        <is>
          <t>true</t>
        </is>
      </c>
      <c r="B315" s="3" t="inlineStr">
        <is>
          <t>0</t>
        </is>
      </c>
      <c r="C315" s="3" t="inlineStr">
        <is>
          <t>Azure Service</t>
        </is>
      </c>
      <c r="D315" s="3" t="inlineStr">
        <is>
          <t>AZQR</t>
        </is>
      </c>
      <c r="E315" s="3" t="inlineStr">
        <is>
          <t>Microsoft.Storage</t>
        </is>
      </c>
      <c r="F315" s="3" t="inlineStr">
        <is>
          <t>storageAccounts</t>
        </is>
      </c>
      <c r="G315" s="3" t="inlineStr">
        <is>
          <t>Security</t>
        </is>
      </c>
      <c r="H315" s="3" t="inlineStr">
        <is>
          <t>Storage Account should use HTTPS only</t>
        </is>
      </c>
      <c r="I315" s="3" t="inlineStr">
        <is>
          <t>High</t>
        </is>
      </c>
      <c r="J315" s="3" t="inlineStr">
        <is>
          <t>Storage Account should require secure transfer (HTTPS) to ensure all data transfers are encrypted in transit.</t>
        </is>
      </c>
      <c r="K315" s="3" t="str">
        <f>HYPERLINK("https://learn.microsoft.com/en-us/azure/storage/common/storage-require-secure-transfer","https://learn.microsoft.com/en-us/azure/storage/common/storage-require-secure-transfer")</f>
      </c>
      <c r="L315" s="3" t="inlineStr">
        <is>
          <t>st-007</t>
        </is>
      </c>
    </row>
    <row r="316" s="2" customFormat="1">
      <c r="A316" s="2" t="inlineStr">
        <is>
          <t>true</t>
        </is>
      </c>
      <c r="B316" s="2" t="inlineStr">
        <is>
          <t>0</t>
        </is>
      </c>
      <c r="C316" s="2" t="inlineStr">
        <is>
          <t>Azure Service</t>
        </is>
      </c>
      <c r="D316" s="2" t="inlineStr">
        <is>
          <t>AZQR</t>
        </is>
      </c>
      <c r="E316" s="2" t="inlineStr">
        <is>
          <t>Microsoft.Storage</t>
        </is>
      </c>
      <c r="F316" s="2" t="inlineStr">
        <is>
          <t>storageAccounts</t>
        </is>
      </c>
      <c r="G316" s="2" t="inlineStr">
        <is>
          <t>Security</t>
        </is>
      </c>
      <c r="H316" s="2" t="inlineStr">
        <is>
          <t>Storage Account should enforce TLS &gt;= 1.2</t>
        </is>
      </c>
      <c r="I316" s="2" t="inlineStr">
        <is>
          <t>Low</t>
        </is>
      </c>
      <c r="J316" s="2" t="inlineStr">
        <is>
          <t>Storage Account should enforce minimum TLS version 1.2 to ensure secure communications using modern encryption protocols.</t>
        </is>
      </c>
      <c r="K316" s="2" t="str">
        <f>HYPERLINK("https://learn.microsoft.com/en-us/azure/storage/common/transport-layer-security-configure-minimum-version?tabs=portal","https://learn.microsoft.com/en-us/azure/storage/common/transport-layer-security-configure-minimum-version?tabs=portal")</f>
      </c>
      <c r="L316" s="2" t="inlineStr">
        <is>
          <t>st-009</t>
        </is>
      </c>
    </row>
  </sheetData>
  <autoFilter ref="$A$4:$L$316"/>
  <drawing xmlns:relationships="http://schemas.openxmlformats.org/officeDocument/2006/relationships" relationships:id="rId1"/>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8" max="18" width="117" customWidth="1"/>
    <col min="17" max="17" width="9" customWidth="1"/>
    <col min="16" max="16" width="9" customWidth="1"/>
    <col min="15" max="15" width="9" customWidth="1"/>
    <col min="14" max="14" width="30" customWidth="1"/>
    <col min="13" max="13" width="91" customWidth="1"/>
    <col min="12" max="12" width="120" customWidth="1"/>
    <col min="11" max="11" width="61" customWidth="1"/>
    <col min="10" max="10" width="33" customWidth="1"/>
    <col min="9" max="9" width="27" customWidth="1"/>
    <col min="8" max="8" width="39" customWidth="1"/>
    <col min="7" max="7" width="39" customWidth="1"/>
    <col min="6" max="6" width="70" customWidth="1"/>
    <col min="5" max="5" width="60" customWidth="1"/>
    <col min="4" max="4" width="9" customWidth="1"/>
    <col min="3" max="3" width="24" customWidth="1"/>
    <col min="2" max="2" width="9" customWidth="1"/>
    <col min="1" max="1" width="23" customWidth="1"/>
  </cols>
  <sheetData>
    <row r="4" s="1" customFormat="1">
      <c r="A4" s="1" t="inlineStr">
        <is>
          <t>Validated Using</t>
        </is>
      </c>
      <c r="B4" s="1" t="inlineStr">
        <is>
          <t>Source</t>
        </is>
      </c>
      <c r="C4" s="1" t="inlineStr">
        <is>
          <t>Category</t>
        </is>
      </c>
      <c r="D4" s="1" t="inlineStr">
        <is>
          <t>Impact</t>
        </is>
      </c>
      <c r="E4" s="1" t="inlineStr">
        <is>
          <t>Resource Type</t>
        </is>
      </c>
      <c r="F4" s="1" t="inlineStr">
        <is>
          <t>Recommendation</t>
        </is>
      </c>
      <c r="G4" s="1" t="inlineStr">
        <is>
          <t>Recommendation Id</t>
        </is>
      </c>
      <c r="H4" s="1" t="inlineStr">
        <is>
          <t>Subscription Id</t>
        </is>
      </c>
      <c r="I4" s="1" t="inlineStr">
        <is>
          <t>Subscription Name</t>
        </is>
      </c>
      <c r="J4" s="1" t="inlineStr">
        <is>
          <t>Resource Group</t>
        </is>
      </c>
      <c r="K4" s="1" t="inlineStr">
        <is>
          <t>Resource Name</t>
        </is>
      </c>
      <c r="L4" s="1" t="inlineStr">
        <is>
          <t>Resource Id</t>
        </is>
      </c>
      <c r="M4" s="1" t="inlineStr">
        <is>
          <t>Param1</t>
        </is>
      </c>
      <c r="N4" s="1" t="inlineStr">
        <is>
          <t>Param2</t>
        </is>
      </c>
      <c r="O4" s="1" t="inlineStr">
        <is>
          <t>Param3</t>
        </is>
      </c>
      <c r="P4" s="1" t="inlineStr">
        <is>
          <t>Param4</t>
        </is>
      </c>
      <c r="Q4" s="1" t="inlineStr">
        <is>
          <t>Param5</t>
        </is>
      </c>
      <c r="R4" s="1" t="inlineStr">
        <is>
          <t>Learn</t>
        </is>
      </c>
    </row>
    <row r="5" s="3" customFormat="1">
      <c r="A5" s="3" t="inlineStr">
        <is>
          <t>Azure Resource Graph</t>
        </is>
      </c>
      <c r="B5" s="3" t="inlineStr">
        <is>
          <t>APRL</t>
        </is>
      </c>
      <c r="C5" s="3" t="inlineStr">
        <is>
          <t>Scalability</t>
        </is>
      </c>
      <c r="D5" s="3" t="inlineStr">
        <is>
          <t>High</t>
        </is>
      </c>
      <c r="E5" s="3" t="inlineStr">
        <is>
          <t>Microsoft.Web/serverFarms</t>
        </is>
      </c>
      <c r="F5" s="3" t="inlineStr">
        <is>
          <t>Set minimum instance count to 2 for app service</t>
        </is>
      </c>
      <c r="G5" s="3" t="inlineStr">
        <is>
          <t>855ca19a-6518-4f2e-9e5a-01796fbca9f8</t>
        </is>
      </c>
      <c r="H5" s="3" t="inlineStr">
        <is>
          <t>xxxxxxxx-xxxx-xxxx-xxxx-xxxxxc661a03</t>
        </is>
      </c>
      <c r="I5" s="3" t="inlineStr">
        <is>
          <t>dt-prd-tpa-oeqrq2jxadm36</t>
        </is>
      </c>
      <c r="J5" s="3" t="inlineStr">
        <is>
          <t>rg-spoke-tpa-prd-imkltpplo5qyg</t>
        </is>
      </c>
      <c r="K5" s="3" t="inlineStr">
        <is>
          <t>asp-tpa-prod-ncus</t>
        </is>
      </c>
      <c r="L5" s="3" t="inlineStr">
        <is>
          <t>/subscriptions/xxxxxxxx-xxxx-xxxx-xxxx-xxxxxc661a03/resourceGroups/rg-spoke-tpa-prd-imkltpplo5qyg/providers/Microsoft.Web/serverFarms/asp-tpa-prod-ncus</t>
        </is>
      </c>
      <c r="M5" s="3" t="inlineStr">
        <is>
          <t>Instance count is less than 2</t>
        </is>
      </c>
      <c r="N5" s="3" t="inlineStr">
        <is>
          <t/>
        </is>
      </c>
      <c r="O5" s="3" t="inlineStr">
        <is>
          <t/>
        </is>
      </c>
      <c r="P5" s="3" t="inlineStr">
        <is>
          <t/>
        </is>
      </c>
      <c r="Q5" s="3" t="inlineStr">
        <is>
          <t/>
        </is>
      </c>
      <c r="R5" s="3" t="str">
        <f>HYPERLINK("https://azure.github.io/AppService/2020/05/15/Robust-Apps-for-the-cloud.html","https://azure.github.io/AppService/2020/05/15/Robust-Apps-for-the-cloud.html")</f>
      </c>
    </row>
    <row r="6" s="2" customFormat="1">
      <c r="A6" s="2" t="inlineStr">
        <is>
          <t>Azure Resource Graph</t>
        </is>
      </c>
      <c r="B6" s="2" t="inlineStr">
        <is>
          <t>AZQR</t>
        </is>
      </c>
      <c r="C6" s="2" t="inlineStr">
        <is>
          <t>Security</t>
        </is>
      </c>
      <c r="D6" s="2" t="inlineStr">
        <is>
          <t>Medium</t>
        </is>
      </c>
      <c r="E6" s="2" t="inlineStr">
        <is>
          <t>Microsoft.AppConfiguration/configurationStores</t>
        </is>
      </c>
      <c r="F6" s="2" t="inlineStr">
        <is>
          <t>AppConfiguration should have local authentication disabled</t>
        </is>
      </c>
      <c r="G6" s="2" t="inlineStr">
        <is>
          <t>appcs-008</t>
        </is>
      </c>
      <c r="H6" s="2" t="inlineStr">
        <is>
          <t>xxxxxxxx-xxxx-xxxx-xxxx-xxxxxc661a03</t>
        </is>
      </c>
      <c r="I6" s="2" t="inlineStr">
        <is>
          <t>dt-prd-tpa-oeqrq2jxadm36</t>
        </is>
      </c>
      <c r="J6" s="2" t="inlineStr">
        <is>
          <t>rg-spoke-tpa-prd-imkltpplo5qyg</t>
        </is>
      </c>
      <c r="K6" s="2" t="inlineStr">
        <is>
          <t>appcs-prod-3dv5vnwo5uxsi</t>
        </is>
      </c>
      <c r="L6" s="2" t="inlineStr">
        <is>
          <t>/subscriptions/xxxxxxxx-xxxx-xxxx-xxxx-xxxxxc661a03/resourceGroups/rg-spoke-tpa-prd-imkltpplo5qyg/providers/Microsoft.AppConfiguration/configurationStores/appcs-prod-3dv5vnwo5uxsi</t>
        </is>
      </c>
      <c r="M6" s="2" t="inlineStr">
        <is>
          <t/>
        </is>
      </c>
      <c r="N6" s="2" t="inlineStr">
        <is>
          <t/>
        </is>
      </c>
      <c r="O6" s="2" t="inlineStr">
        <is>
          <t/>
        </is>
      </c>
      <c r="P6" s="2" t="inlineStr">
        <is>
          <t/>
        </is>
      </c>
      <c r="Q6" s="2" t="inlineStr">
        <is>
          <t/>
        </is>
      </c>
      <c r="R6" s="2" t="str">
        <f>HYPERLINK("https://learn.microsoft.com/azure/azure-app-configuration/howto-disable-access-key-authentication","https://learn.microsoft.com/azure/azure-app-configuration/howto-disable-access-key-authentication")</f>
      </c>
    </row>
    <row r="7" s="3" customFormat="1">
      <c r="A7" s="3" t="inlineStr">
        <is>
          <t>Azure Resource Graph</t>
        </is>
      </c>
      <c r="B7" s="3" t="inlineStr">
        <is>
          <t>APRL</t>
        </is>
      </c>
      <c r="C7" s="3" t="inlineStr">
        <is>
          <t>OtherBestPractices</t>
        </is>
      </c>
      <c r="D7" s="3" t="inlineStr">
        <is>
          <t>Low</t>
        </is>
      </c>
      <c r="E7" s="3" t="inlineStr">
        <is>
          <t>Microsoft.AppConfiguration/configurationStores</t>
        </is>
      </c>
      <c r="F7" s="3" t="inlineStr">
        <is>
          <t>Enable Purge protection for Azure App Configuration</t>
        </is>
      </c>
      <c r="G7" s="3" t="inlineStr">
        <is>
          <t>bb4c8db4-f821-475b-b1ea-16e95358665e</t>
        </is>
      </c>
      <c r="H7" s="3" t="inlineStr">
        <is>
          <t>xxxxxxxx-xxxx-xxxx-xxxx-xxxxxc661a03</t>
        </is>
      </c>
      <c r="I7" s="3" t="inlineStr">
        <is>
          <t>dt-prd-tpa-oeqrq2jxadm36</t>
        </is>
      </c>
      <c r="J7" s="3" t="inlineStr">
        <is>
          <t>rg-spoke-tpa-prd-imkltpplo5qyg</t>
        </is>
      </c>
      <c r="K7" s="3" t="inlineStr">
        <is>
          <t>appcs-prod-3dv5vnwo5uxsi</t>
        </is>
      </c>
      <c r="L7" s="3" t="inlineStr">
        <is>
          <t>/subscriptions/xxxxxxxx-xxxx-xxxx-xxxx-xxxxxc661a03/resourceGroups/rg-spoke-tpa-prd-imkltpplo5qyg/providers/Microsoft.AppConfiguration/configurationStores/appcs-prod-3dv5vnwo5uxsi</t>
        </is>
      </c>
      <c r="M7" s="3" t="inlineStr">
        <is>
          <t>Enable purge protection</t>
        </is>
      </c>
      <c r="N7" s="3" t="inlineStr">
        <is>
          <t/>
        </is>
      </c>
      <c r="O7" s="3" t="inlineStr">
        <is>
          <t/>
        </is>
      </c>
      <c r="P7" s="3" t="inlineStr">
        <is>
          <t/>
        </is>
      </c>
      <c r="Q7" s="3" t="inlineStr">
        <is>
          <t/>
        </is>
      </c>
      <c r="R7" s="3" t="str">
        <f>HYPERLINK("https://learn.microsoft.com/azure/azure-app-configuration/concept-soft-delete#purge-protection","https://learn.microsoft.com/azure/azure-app-configuration/concept-soft-delete#purge-protection")</f>
      </c>
    </row>
    <row r="8" s="2" customFormat="1">
      <c r="A8" s="2" t="inlineStr">
        <is>
          <t>Azure Resource Graph</t>
        </is>
      </c>
      <c r="B8" s="2" t="inlineStr">
        <is>
          <t>AZQR</t>
        </is>
      </c>
      <c r="C8" s="2" t="inlineStr">
        <is>
          <t>HighAvailability</t>
        </is>
      </c>
      <c r="D8" s="2" t="inlineStr">
        <is>
          <t>Medium</t>
        </is>
      </c>
      <c r="E8" s="2" t="inlineStr">
        <is>
          <t>Microsoft.Web/sites</t>
        </is>
      </c>
      <c r="F8" s="2" t="inlineStr">
        <is>
          <t>App Service should avoid using Client Affinity</t>
        </is>
      </c>
      <c r="G8" s="2" t="inlineStr">
        <is>
          <t>app-015</t>
        </is>
      </c>
      <c r="H8" s="2" t="inlineStr">
        <is>
          <t>xxxxxxxx-xxxx-xxxx-xxxx-xxxxxc661a03</t>
        </is>
      </c>
      <c r="I8" s="2" t="inlineStr">
        <is>
          <t>dt-prd-tpa-oeqrq2jxadm36</t>
        </is>
      </c>
      <c r="J8" s="2" t="inlineStr">
        <is>
          <t>rg-spoke-tpa-prd-imkltpplo5qyg</t>
        </is>
      </c>
      <c r="K8" s="2" t="inlineStr">
        <is>
          <t>app-tpa-prod-backend-ncus</t>
        </is>
      </c>
      <c r="L8" s="2" t="inlineStr">
        <is>
          <t>/subscriptions/xxxxxxxx-xxxx-xxxx-xxxx-xxxxxc661a03/resourceGroups/rg-spoke-tpa-prd-imkltpplo5qyg/providers/Microsoft.Web/sites/app-tpa-prod-backend-ncus</t>
        </is>
      </c>
      <c r="M8" s="2" t="inlineStr">
        <is>
          <t>Client Affinity is enabled</t>
        </is>
      </c>
      <c r="N8" s="2" t="inlineStr">
        <is>
          <t/>
        </is>
      </c>
      <c r="O8" s="2" t="inlineStr">
        <is>
          <t/>
        </is>
      </c>
      <c r="P8" s="2" t="inlineStr">
        <is>
          <t/>
        </is>
      </c>
      <c r="Q8" s="2" t="inlineStr">
        <is>
          <t/>
        </is>
      </c>
      <c r="R8" s="2" t="str">
        <f>HYPERLINK("https://learn.microsoft.com/en-us/azure/well-architected/service-guides/azure-app-service/reliability#checklist","https://learn.microsoft.com/en-us/azure/well-architected/service-guides/azure-app-service/reliability#checklist")</f>
      </c>
    </row>
    <row r="9" s="3" customFormat="1">
      <c r="A9" s="3" t="inlineStr">
        <is>
          <t>Azure Resource Graph</t>
        </is>
      </c>
      <c r="B9" s="3" t="inlineStr">
        <is>
          <t>AZQR</t>
        </is>
      </c>
      <c r="C9" s="3" t="inlineStr">
        <is>
          <t>HighAvailability</t>
        </is>
      </c>
      <c r="D9" s="3" t="inlineStr">
        <is>
          <t>Medium</t>
        </is>
      </c>
      <c r="E9" s="3" t="inlineStr">
        <is>
          <t>Microsoft.Web/sites</t>
        </is>
      </c>
      <c r="F9" s="3" t="inlineStr">
        <is>
          <t>App Service should avoid using Client Affinity</t>
        </is>
      </c>
      <c r="G9" s="3" t="inlineStr">
        <is>
          <t>app-015</t>
        </is>
      </c>
      <c r="H9" s="3" t="inlineStr">
        <is>
          <t>xxxxxxxx-xxxx-xxxx-xxxx-xxxxxc661a03</t>
        </is>
      </c>
      <c r="I9" s="3" t="inlineStr">
        <is>
          <t>dt-prd-tpa-oeqrq2jxadm36</t>
        </is>
      </c>
      <c r="J9" s="3" t="inlineStr">
        <is>
          <t>rg-spoke-tpa-prd-imkltpplo5qyg</t>
        </is>
      </c>
      <c r="K9" s="3" t="inlineStr">
        <is>
          <t>app-tpa-prod-frontend-ncus</t>
        </is>
      </c>
      <c r="L9" s="3" t="inlineStr">
        <is>
          <t>/subscriptions/xxxxxxxx-xxxx-xxxx-xxxx-xxxxxc661a03/resourceGroups/rg-spoke-tpa-prd-imkltpplo5qyg/providers/Microsoft.Web/sites/app-tpa-prod-frontend-ncus</t>
        </is>
      </c>
      <c r="M9" s="3" t="inlineStr">
        <is>
          <t>Client Affinity is enabled</t>
        </is>
      </c>
      <c r="N9" s="3" t="inlineStr">
        <is>
          <t/>
        </is>
      </c>
      <c r="O9" s="3" t="inlineStr">
        <is>
          <t/>
        </is>
      </c>
      <c r="P9" s="3" t="inlineStr">
        <is>
          <t/>
        </is>
      </c>
      <c r="Q9" s="3" t="inlineStr">
        <is>
          <t/>
        </is>
      </c>
      <c r="R9" s="3" t="str">
        <f>HYPERLINK("https://learn.microsoft.com/en-us/azure/well-architected/service-guides/azure-app-service/reliability#checklist","https://learn.microsoft.com/en-us/azure/well-architected/service-guides/azure-app-service/reliability#checklist")</f>
      </c>
    </row>
    <row r="10" s="2" customFormat="1">
      <c r="A10" s="2" t="inlineStr">
        <is>
          <t>Azure Resource Graph</t>
        </is>
      </c>
      <c r="B10" s="2" t="inlineStr">
        <is>
          <t>AZQR</t>
        </is>
      </c>
      <c r="C10" s="2" t="inlineStr">
        <is>
          <t>Security</t>
        </is>
      </c>
      <c r="D10" s="2" t="inlineStr">
        <is>
          <t>Medium</t>
        </is>
      </c>
      <c r="E10" s="2" t="inlineStr">
        <is>
          <t>Microsoft.Web/sites</t>
        </is>
      </c>
      <c r="F10" s="2" t="inlineStr">
        <is>
          <t>App Service should have VNET Route all enabled for VNET integration</t>
        </is>
      </c>
      <c r="G10" s="2" t="inlineStr">
        <is>
          <t>app-010</t>
        </is>
      </c>
      <c r="H10" s="2" t="inlineStr">
        <is>
          <t>xxxxxxxx-xxxx-xxxx-xxxx-xxxxxc661a03</t>
        </is>
      </c>
      <c r="I10" s="2" t="inlineStr">
        <is>
          <t>dt-prd-tpa-oeqrq2jxadm36</t>
        </is>
      </c>
      <c r="J10" s="2" t="inlineStr">
        <is>
          <t>rg-spoke-tpa-prd-imkltpplo5qyg</t>
        </is>
      </c>
      <c r="K10" s="2" t="inlineStr">
        <is>
          <t>app-tpa-prod-backend-ncus</t>
        </is>
      </c>
      <c r="L10" s="2" t="inlineStr">
        <is>
          <t>/subscriptions/xxxxxxxx-xxxx-xxxx-xxxx-xxxxxc661a03/resourceGroups/rg-spoke-tpa-prd-imkltpplo5qyg/providers/Microsoft.Web/sites/app-tpa-prod-backend-ncus</t>
        </is>
      </c>
      <c r="M10" s="2" t="inlineStr">
        <is>
          <t>VNET Route All is disabled</t>
        </is>
      </c>
      <c r="N10" s="2" t="inlineStr">
        <is>
          <t/>
        </is>
      </c>
      <c r="O10" s="2" t="inlineStr">
        <is>
          <t/>
        </is>
      </c>
      <c r="P10" s="2" t="inlineStr">
        <is>
          <t/>
        </is>
      </c>
      <c r="Q10" s="2" t="inlineStr">
        <is>
          <t/>
        </is>
      </c>
      <c r="R10" s="2" t="str">
        <f>HYPERLINK("https://learn.microsoft.com/en-us/azure/app-service/overview-vnet-integration","https://learn.microsoft.com/en-us/azure/app-service/overview-vnet-integration")</f>
      </c>
    </row>
    <row r="11" s="3" customFormat="1">
      <c r="A11" s="3" t="inlineStr">
        <is>
          <t>Azure Resource Graph</t>
        </is>
      </c>
      <c r="B11" s="3" t="inlineStr">
        <is>
          <t>AZQR</t>
        </is>
      </c>
      <c r="C11" s="3" t="inlineStr">
        <is>
          <t>Security</t>
        </is>
      </c>
      <c r="D11" s="3" t="inlineStr">
        <is>
          <t>Medium</t>
        </is>
      </c>
      <c r="E11" s="3" t="inlineStr">
        <is>
          <t>Microsoft.Web/sites</t>
        </is>
      </c>
      <c r="F11" s="3" t="inlineStr">
        <is>
          <t>App Service should have VNET Route all enabled for VNET integration</t>
        </is>
      </c>
      <c r="G11" s="3" t="inlineStr">
        <is>
          <t>app-010</t>
        </is>
      </c>
      <c r="H11" s="3" t="inlineStr">
        <is>
          <t>xxxxxxxx-xxxx-xxxx-xxxx-xxxxxc661a03</t>
        </is>
      </c>
      <c r="I11" s="3" t="inlineStr">
        <is>
          <t>dt-prd-tpa-oeqrq2jxadm36</t>
        </is>
      </c>
      <c r="J11" s="3" t="inlineStr">
        <is>
          <t>rg-spoke-tpa-prd-imkltpplo5qyg</t>
        </is>
      </c>
      <c r="K11" s="3" t="inlineStr">
        <is>
          <t>app-tpa-prod-frontend-ncus</t>
        </is>
      </c>
      <c r="L11" s="3" t="inlineStr">
        <is>
          <t>/subscriptions/xxxxxxxx-xxxx-xxxx-xxxx-xxxxxc661a03/resourceGroups/rg-spoke-tpa-prd-imkltpplo5qyg/providers/Microsoft.Web/sites/app-tpa-prod-frontend-ncus</t>
        </is>
      </c>
      <c r="M11" s="3" t="inlineStr">
        <is>
          <t>VNET Route All is disabled</t>
        </is>
      </c>
      <c r="N11" s="3" t="inlineStr">
        <is>
          <t/>
        </is>
      </c>
      <c r="O11" s="3" t="inlineStr">
        <is>
          <t/>
        </is>
      </c>
      <c r="P11" s="3" t="inlineStr">
        <is>
          <t/>
        </is>
      </c>
      <c r="Q11" s="3" t="inlineStr">
        <is>
          <t/>
        </is>
      </c>
      <c r="R11" s="3" t="str">
        <f>HYPERLINK("https://learn.microsoft.com/en-us/azure/app-service/overview-vnet-integration","https://learn.microsoft.com/en-us/azure/app-service/overview-vnet-integration")</f>
      </c>
    </row>
    <row r="12" s="2" customFormat="1">
      <c r="A12" s="2" t="inlineStr">
        <is>
          <t>Azure Resource Graph</t>
        </is>
      </c>
      <c r="B12" s="2" t="inlineStr">
        <is>
          <t>APRL</t>
        </is>
      </c>
      <c r="C12" s="2" t="inlineStr">
        <is>
          <t>OtherBestPractices</t>
        </is>
      </c>
      <c r="D12" s="2" t="inlineStr">
        <is>
          <t>Medium</t>
        </is>
      </c>
      <c r="E12" s="2" t="inlineStr">
        <is>
          <t>Microsoft.Web/sites</t>
        </is>
      </c>
      <c r="F12" s="2" t="inlineStr">
        <is>
          <t>Store configuration as app settings for Web Sites</t>
        </is>
      </c>
      <c r="G12" s="2" t="inlineStr">
        <is>
          <t>0b80b67c-afbe-4988-ad58-a85a146b681e</t>
        </is>
      </c>
      <c r="H12" s="2" t="inlineStr">
        <is>
          <t>xxxxxxxx-xxxx-xxxx-xxxx-xxxxxc661a03</t>
        </is>
      </c>
      <c r="I12" s="2" t="inlineStr">
        <is>
          <t>dt-prd-tpa-oeqrq2jxadm36</t>
        </is>
      </c>
      <c r="J12" s="2" t="inlineStr">
        <is>
          <t>rg-spoke-tpa-prd-imkltpplo5qyg</t>
        </is>
      </c>
      <c r="K12" s="2" t="inlineStr">
        <is>
          <t>app-tpa-prod-backend-ncus</t>
        </is>
      </c>
      <c r="L12" s="2" t="inlineStr">
        <is>
          <t>/subscriptions/xxxxxxxx-xxxx-xxxx-xxxx-xxxxxc661a03/resourceGroups/rg-spoke-tpa-prd-imkltpplo5qyg/providers/Microsoft.Web/sites/app-tpa-prod-backend-ncus</t>
        </is>
      </c>
      <c r="M12" s="2" t="inlineStr">
        <is>
          <t>AppSettings is not configured</t>
        </is>
      </c>
      <c r="N12" s="2" t="inlineStr">
        <is>
          <t/>
        </is>
      </c>
      <c r="O12" s="2" t="inlineStr">
        <is>
          <t/>
        </is>
      </c>
      <c r="P12" s="2" t="inlineStr">
        <is>
          <t/>
        </is>
      </c>
      <c r="Q12" s="2" t="inlineStr">
        <is>
          <t/>
        </is>
      </c>
      <c r="R12" s="2" t="str">
        <f>HYPERLINK("https://learn.microsoft.com/azure/app-service-web/web-sites-configure","https://learn.microsoft.com/azure/app-service-web/web-sites-configure")</f>
      </c>
    </row>
    <row r="13" s="3" customFormat="1">
      <c r="A13" s="3" t="inlineStr">
        <is>
          <t>Azure Resource Graph</t>
        </is>
      </c>
      <c r="B13" s="3" t="inlineStr">
        <is>
          <t>APRL</t>
        </is>
      </c>
      <c r="C13" s="3" t="inlineStr">
        <is>
          <t>OtherBestPractices</t>
        </is>
      </c>
      <c r="D13" s="3" t="inlineStr">
        <is>
          <t>Medium</t>
        </is>
      </c>
      <c r="E13" s="3" t="inlineStr">
        <is>
          <t>Microsoft.Web/sites</t>
        </is>
      </c>
      <c r="F13" s="3" t="inlineStr">
        <is>
          <t>Store configuration as app settings for Web Sites</t>
        </is>
      </c>
      <c r="G13" s="3" t="inlineStr">
        <is>
          <t>0b80b67c-afbe-4988-ad58-a85a146b681e</t>
        </is>
      </c>
      <c r="H13" s="3" t="inlineStr">
        <is>
          <t>xxxxxxxx-xxxx-xxxx-xxxx-xxxxxc661a03</t>
        </is>
      </c>
      <c r="I13" s="3" t="inlineStr">
        <is>
          <t>dt-prd-tpa-oeqrq2jxadm36</t>
        </is>
      </c>
      <c r="J13" s="3" t="inlineStr">
        <is>
          <t>rg-spoke-tpa-prd-imkltpplo5qyg</t>
        </is>
      </c>
      <c r="K13" s="3" t="inlineStr">
        <is>
          <t>app-tpa-prod-frontend-ncus</t>
        </is>
      </c>
      <c r="L13" s="3" t="inlineStr">
        <is>
          <t>/subscriptions/xxxxxxxx-xxxx-xxxx-xxxx-xxxxxc661a03/resourceGroups/rg-spoke-tpa-prd-imkltpplo5qyg/providers/Microsoft.Web/sites/app-tpa-prod-frontend-ncus</t>
        </is>
      </c>
      <c r="M13" s="3" t="inlineStr">
        <is>
          <t>AppSettings is not configured</t>
        </is>
      </c>
      <c r="N13" s="3" t="inlineStr">
        <is>
          <t/>
        </is>
      </c>
      <c r="O13" s="3" t="inlineStr">
        <is>
          <t/>
        </is>
      </c>
      <c r="P13" s="3" t="inlineStr">
        <is>
          <t/>
        </is>
      </c>
      <c r="Q13" s="3" t="inlineStr">
        <is>
          <t/>
        </is>
      </c>
      <c r="R13" s="3" t="str">
        <f>HYPERLINK("https://learn.microsoft.com/azure/app-service-web/web-sites-configure","https://learn.microsoft.com/azure/app-service-web/web-sites-configure")</f>
      </c>
    </row>
    <row r="14" s="2" customFormat="1">
      <c r="A14" s="2" t="inlineStr">
        <is>
          <t>Azure Resource Graph</t>
        </is>
      </c>
      <c r="B14" s="2" t="inlineStr">
        <is>
          <t>APRL</t>
        </is>
      </c>
      <c r="C14" s="2" t="inlineStr">
        <is>
          <t>OtherBestPractices</t>
        </is>
      </c>
      <c r="D14" s="2" t="inlineStr">
        <is>
          <t>High</t>
        </is>
      </c>
      <c r="E14" s="2" t="inlineStr">
        <is>
          <t>Microsoft.Web/sites</t>
        </is>
      </c>
      <c r="F14" s="2" t="inlineStr">
        <is>
          <t>Enable Health check for App Services</t>
        </is>
      </c>
      <c r="G14" s="2" t="inlineStr">
        <is>
          <t>fd049c28-ae6d-48f0-a641-cc3ba1a3fe1d</t>
        </is>
      </c>
      <c r="H14" s="2" t="inlineStr">
        <is>
          <t>xxxxxxxx-xxxx-xxxx-xxxx-xxxxxc661a03</t>
        </is>
      </c>
      <c r="I14" s="2" t="inlineStr">
        <is>
          <t>dt-prd-tpa-oeqrq2jxadm36</t>
        </is>
      </c>
      <c r="J14" s="2" t="inlineStr">
        <is>
          <t>rg-spoke-tpa-prd-imkltpplo5qyg</t>
        </is>
      </c>
      <c r="K14" s="2" t="inlineStr">
        <is>
          <t>app-tpa-prod-backend-ncus</t>
        </is>
      </c>
      <c r="L14" s="2" t="inlineStr">
        <is>
          <t>/subscriptions/xxxxxxxx-xxxx-xxxx-xxxx-xxxxxc661a03/resourceGroups/rg-spoke-tpa-prd-imkltpplo5qyg/providers/Microsoft.Web/sites/app-tpa-prod-backend-ncus</t>
        </is>
      </c>
      <c r="M14" s="2" t="inlineStr">
        <is>
          <t>Healthcheckpath = not set</t>
        </is>
      </c>
      <c r="N14" s="2" t="inlineStr">
        <is>
          <t/>
        </is>
      </c>
      <c r="O14" s="2" t="inlineStr">
        <is>
          <t/>
        </is>
      </c>
      <c r="P14" s="2" t="inlineStr">
        <is>
          <t/>
        </is>
      </c>
      <c r="Q14" s="2" t="inlineStr">
        <is>
          <t/>
        </is>
      </c>
      <c r="R14" s="2" t="str">
        <f>HYPERLINK("https://learn.microsoft.com/azure/app-service/monitor-instances-health-check?tabs=dotnet#enable-health-check","https://learn.microsoft.com/azure/app-service/monitor-instances-health-check?tabs=dotnet#enable-health-check")</f>
      </c>
    </row>
    <row r="15" s="3" customFormat="1">
      <c r="A15" s="3" t="inlineStr">
        <is>
          <t>Azure Resource Graph</t>
        </is>
      </c>
      <c r="B15" s="3" t="inlineStr">
        <is>
          <t>APRL</t>
        </is>
      </c>
      <c r="C15" s="3" t="inlineStr">
        <is>
          <t>OtherBestPractices</t>
        </is>
      </c>
      <c r="D15" s="3" t="inlineStr">
        <is>
          <t>High</t>
        </is>
      </c>
      <c r="E15" s="3" t="inlineStr">
        <is>
          <t>Microsoft.Web/sites</t>
        </is>
      </c>
      <c r="F15" s="3" t="inlineStr">
        <is>
          <t>Enable Health check for App Services</t>
        </is>
      </c>
      <c r="G15" s="3" t="inlineStr">
        <is>
          <t>fd049c28-ae6d-48f0-a641-cc3ba1a3fe1d</t>
        </is>
      </c>
      <c r="H15" s="3" t="inlineStr">
        <is>
          <t>xxxxxxxx-xxxx-xxxx-xxxx-xxxxxc661a03</t>
        </is>
      </c>
      <c r="I15" s="3" t="inlineStr">
        <is>
          <t>dt-prd-tpa-oeqrq2jxadm36</t>
        </is>
      </c>
      <c r="J15" s="3" t="inlineStr">
        <is>
          <t>rg-spoke-tpa-prd-imkltpplo5qyg</t>
        </is>
      </c>
      <c r="K15" s="3" t="inlineStr">
        <is>
          <t>app-tpa-prod-frontend-ncus</t>
        </is>
      </c>
      <c r="L15" s="3" t="inlineStr">
        <is>
          <t>/subscriptions/xxxxxxxx-xxxx-xxxx-xxxx-xxxxxc661a03/resourceGroups/rg-spoke-tpa-prd-imkltpplo5qyg/providers/Microsoft.Web/sites/app-tpa-prod-frontend-ncus</t>
        </is>
      </c>
      <c r="M15" s="3" t="inlineStr">
        <is>
          <t>Healthcheckpath = not set</t>
        </is>
      </c>
      <c r="N15" s="3" t="inlineStr">
        <is>
          <t/>
        </is>
      </c>
      <c r="O15" s="3" t="inlineStr">
        <is>
          <t/>
        </is>
      </c>
      <c r="P15" s="3" t="inlineStr">
        <is>
          <t/>
        </is>
      </c>
      <c r="Q15" s="3" t="inlineStr">
        <is>
          <t/>
        </is>
      </c>
      <c r="R15" s="3" t="str">
        <f>HYPERLINK("https://learn.microsoft.com/azure/app-service/monitor-instances-health-check?tabs=dotnet#enable-health-check","https://learn.microsoft.com/azure/app-service/monitor-instances-health-check?tabs=dotnet#enable-health-check")</f>
      </c>
    </row>
    <row r="16" s="2" customFormat="1">
      <c r="A16" s="2" t="inlineStr">
        <is>
          <t>Azure Resource Graph</t>
        </is>
      </c>
      <c r="B16" s="2" t="inlineStr">
        <is>
          <t>APRL</t>
        </is>
      </c>
      <c r="C16" s="2" t="inlineStr">
        <is>
          <t>OtherBestPractices</t>
        </is>
      </c>
      <c r="D16" s="2" t="inlineStr">
        <is>
          <t>Low</t>
        </is>
      </c>
      <c r="E16" s="2" t="inlineStr">
        <is>
          <t>Microsoft.Web/sites</t>
        </is>
      </c>
      <c r="F16" s="2" t="inlineStr">
        <is>
          <t>Deploy to a staging slot</t>
        </is>
      </c>
      <c r="G16" s="2" t="inlineStr">
        <is>
          <t>a1d91661-32d4-430b-b3b6-5adeb0975df7</t>
        </is>
      </c>
      <c r="H16" s="2" t="inlineStr">
        <is>
          <t>xxxxxxxx-xxxx-xxxx-xxxx-xxxxxc661a03</t>
        </is>
      </c>
      <c r="I16" s="2" t="inlineStr">
        <is>
          <t>dt-prd-tpa-oeqrq2jxadm36</t>
        </is>
      </c>
      <c r="J16" s="2" t="inlineStr">
        <is>
          <t>rg-spoke-tpa-prd-imkltpplo5qyg</t>
        </is>
      </c>
      <c r="K16" s="2" t="inlineStr">
        <is>
          <t>app-tpa-prod-backend-ncus</t>
        </is>
      </c>
      <c r="L16" s="2" t="inlineStr">
        <is>
          <t>/subscriptions/xxxxxxxx-xxxx-xxxx-xxxx-xxxxxc661a03/resourceGroups/rg-spoke-tpa-prd-imkltpplo5qyg/providers/Microsoft.Web/sites/app-tpa-prod-backend-ncus</t>
        </is>
      </c>
      <c r="M16" s="2" t="inlineStr">
        <is>
          <t>PremiumV3</t>
        </is>
      </c>
      <c r="N16" s="2" t="inlineStr">
        <is>
          <t>DeploymentSlotEnabled=false</t>
        </is>
      </c>
      <c r="O16" s="2" t="inlineStr">
        <is>
          <t/>
        </is>
      </c>
      <c r="P16" s="2" t="inlineStr">
        <is>
          <t/>
        </is>
      </c>
      <c r="Q16" s="2" t="inlineStr">
        <is>
          <t/>
        </is>
      </c>
      <c r="R16" s="2" t="str">
        <f>HYPERLINK("https://learn.microsoft.com/azure/app-service-web/web-sites-staged-publishing","https://learn.microsoft.com/azure/app-service-web/web-sites-staged-publishing")</f>
      </c>
    </row>
    <row r="17" s="3" customFormat="1">
      <c r="A17" s="3" t="inlineStr">
        <is>
          <t>Azure Resource Graph</t>
        </is>
      </c>
      <c r="B17" s="3" t="inlineStr">
        <is>
          <t>APRL</t>
        </is>
      </c>
      <c r="C17" s="3" t="inlineStr">
        <is>
          <t>OtherBestPractices</t>
        </is>
      </c>
      <c r="D17" s="3" t="inlineStr">
        <is>
          <t>Low</t>
        </is>
      </c>
      <c r="E17" s="3" t="inlineStr">
        <is>
          <t>Microsoft.Web/sites</t>
        </is>
      </c>
      <c r="F17" s="3" t="inlineStr">
        <is>
          <t>Deploy to a staging slot</t>
        </is>
      </c>
      <c r="G17" s="3" t="inlineStr">
        <is>
          <t>a1d91661-32d4-430b-b3b6-5adeb0975df7</t>
        </is>
      </c>
      <c r="H17" s="3" t="inlineStr">
        <is>
          <t>xxxxxxxx-xxxx-xxxx-xxxx-xxxxxc661a03</t>
        </is>
      </c>
      <c r="I17" s="3" t="inlineStr">
        <is>
          <t>dt-prd-tpa-oeqrq2jxadm36</t>
        </is>
      </c>
      <c r="J17" s="3" t="inlineStr">
        <is>
          <t>rg-spoke-tpa-prd-imkltpplo5qyg</t>
        </is>
      </c>
      <c r="K17" s="3" t="inlineStr">
        <is>
          <t>app-tpa-prod-frontend-ncus</t>
        </is>
      </c>
      <c r="L17" s="3" t="inlineStr">
        <is>
          <t>/subscriptions/xxxxxxxx-xxxx-xxxx-xxxx-xxxxxc661a03/resourceGroups/rg-spoke-tpa-prd-imkltpplo5qyg/providers/Microsoft.Web/sites/app-tpa-prod-frontend-ncus</t>
        </is>
      </c>
      <c r="M17" s="3" t="inlineStr">
        <is>
          <t>PremiumV3</t>
        </is>
      </c>
      <c r="N17" s="3" t="inlineStr">
        <is>
          <t>DeploymentSlotEnabled=false</t>
        </is>
      </c>
      <c r="O17" s="3" t="inlineStr">
        <is>
          <t/>
        </is>
      </c>
      <c r="P17" s="3" t="inlineStr">
        <is>
          <t/>
        </is>
      </c>
      <c r="Q17" s="3" t="inlineStr">
        <is>
          <t/>
        </is>
      </c>
      <c r="R17" s="3" t="str">
        <f>HYPERLINK("https://learn.microsoft.com/azure/app-service-web/web-sites-staged-publishing","https://learn.microsoft.com/azure/app-service-web/web-sites-staged-publishing")</f>
      </c>
    </row>
    <row r="18" s="2" customFormat="1">
      <c r="A18" s="2" t="inlineStr">
        <is>
          <t>Azure Resource Graph</t>
        </is>
      </c>
      <c r="B18" s="2" t="inlineStr">
        <is>
          <t>APRL</t>
        </is>
      </c>
      <c r="C18" s="2" t="inlineStr">
        <is>
          <t>MonitoringAndAlerting</t>
        </is>
      </c>
      <c r="D18" s="2" t="inlineStr">
        <is>
          <t>Low</t>
        </is>
      </c>
      <c r="E18" s="2" t="inlineStr">
        <is>
          <t>Microsoft.Network/networkSecurityGroups</t>
        </is>
      </c>
      <c r="F18" s="2" t="inlineStr">
        <is>
          <t>Monitor changes in Network Security Groups with Azure Monitor</t>
        </is>
      </c>
      <c r="G18" s="2" t="inlineStr">
        <is>
          <t>8bb4a57b-55e4-d24e-9c19-2679d8bc779f</t>
        </is>
      </c>
      <c r="H18" s="2" t="inlineStr">
        <is>
          <t>xxxxxxxx-xxxx-xxxx-xxxx-xxxxxc661a03</t>
        </is>
      </c>
      <c r="I18" s="2" t="inlineStr">
        <is>
          <t>dt-prd-tpa-oeqrq2jxadm36</t>
        </is>
      </c>
      <c r="J18" s="2" t="inlineStr">
        <is>
          <t>rg-spoke-tpa-prd-imkltpplo5qyg</t>
        </is>
      </c>
      <c r="K18" s="2" t="inlineStr">
        <is>
          <t>nsg-snet-tpa-prod-ncus</t>
        </is>
      </c>
      <c r="L18" s="2" t="inlineStr">
        <is>
          <t>/subscriptions/xxxxxxxx-xxxx-xxxx-xxxx-xxxxxc661a03/resourceGroups/rg-spoke-tpa-prd-imkltpplo5qyg/providers/Microsoft.Network/networkSecurityGroups/nsg-snet-tpa-prod-ncus</t>
        </is>
      </c>
      <c r="M18" s="2" t="inlineStr">
        <is>
          <t>ModificationAlert: Not configured/Disabled</t>
        </is>
      </c>
      <c r="N18" s="2" t="inlineStr">
        <is>
          <t/>
        </is>
      </c>
      <c r="O18" s="2" t="inlineStr">
        <is>
          <t/>
        </is>
      </c>
      <c r="P18" s="2" t="inlineStr">
        <is>
          <t/>
        </is>
      </c>
      <c r="Q18" s="2" t="inlineStr">
        <is>
          <t/>
        </is>
      </c>
      <c r="R18" s="2" t="str">
        <f>HYPERLINK("https://learn.microsoft.com/azure/azure-monitor/essentials/activity-log?tabs=powershell","https://learn.microsoft.com/azure/azure-monitor/essentials/activity-log?tabs=powershell")</f>
      </c>
    </row>
    <row r="19" s="3" customFormat="1">
      <c r="A19" s="3" t="inlineStr">
        <is>
          <t>Azure Resource Graph</t>
        </is>
      </c>
      <c r="B19" s="3" t="inlineStr">
        <is>
          <t>APRL</t>
        </is>
      </c>
      <c r="C19" s="3" t="inlineStr">
        <is>
          <t>MonitoringAndAlerting</t>
        </is>
      </c>
      <c r="D19" s="3" t="inlineStr">
        <is>
          <t>Medium</t>
        </is>
      </c>
      <c r="E19" s="3" t="inlineStr">
        <is>
          <t>Microsoft.Network/networkWatchers</t>
        </is>
      </c>
      <c r="F19" s="3" t="inlineStr">
        <is>
          <t>Configure Network Watcher Connection monitor</t>
        </is>
      </c>
      <c r="G19" s="3" t="inlineStr">
        <is>
          <t>1e28bbc1-1eb7-486f-8d7f-93943f40219c</t>
        </is>
      </c>
      <c r="H19" s="3" t="inlineStr">
        <is>
          <t>xxxxxxxx-xxxx-xxxx-xxxx-xxxxxc661a03</t>
        </is>
      </c>
      <c r="I19" s="3" t="inlineStr">
        <is>
          <t>dt-prd-tpa-oeqrq2jxadm36</t>
        </is>
      </c>
      <c r="J19" s="3" t="inlineStr">
        <is>
          <t>NetworkWatcherRG</t>
        </is>
      </c>
      <c r="K19" s="3" t="inlineStr">
        <is>
          <t>NetworkWatcher_northcentralus</t>
        </is>
      </c>
      <c r="L19" s="3" t="inlineStr">
        <is>
          <t>/subscriptions/xxxxxxxx-xxxx-xxxx-xxxx-xxxxxc661a03/resourceGroups/NetworkWatcherRG/providers/Microsoft.Network/networkWatchers/NetworkWatcher_northcentralus</t>
        </is>
      </c>
      <c r="M19" s="3" t="inlineStr">
        <is>
          <t/>
        </is>
      </c>
      <c r="N19" s="3" t="inlineStr">
        <is>
          <t/>
        </is>
      </c>
      <c r="O19" s="3" t="inlineStr">
        <is>
          <t/>
        </is>
      </c>
      <c r="P19" s="3" t="inlineStr">
        <is>
          <t/>
        </is>
      </c>
      <c r="Q19" s="3" t="inlineStr">
        <is>
          <t/>
        </is>
      </c>
      <c r="R19" s="3" t="str">
        <f>HYPERLINK("https://learn.microsoft.com/azure/network-watcher/connection-monitor-overview","https://learn.microsoft.com/azure/network-watcher/connection-monitor-overview")</f>
      </c>
    </row>
    <row r="20" s="2" customFormat="1">
      <c r="A20" s="2" t="inlineStr">
        <is>
          <t>Azure Resource Graph</t>
        </is>
      </c>
      <c r="B20" s="2" t="inlineStr">
        <is>
          <t>AZQR</t>
        </is>
      </c>
      <c r="C20" s="2" t="inlineStr">
        <is>
          <t>DisasterRecovery</t>
        </is>
      </c>
      <c r="D20" s="2" t="inlineStr">
        <is>
          <t>Low</t>
        </is>
      </c>
      <c r="E20" s="2" t="inlineStr">
        <is>
          <t>Microsoft.Storage/storageAccounts</t>
        </is>
      </c>
      <c r="F20" s="2" t="inlineStr">
        <is>
          <t>Storage Account should have immutable storage versioning enabled</t>
        </is>
      </c>
      <c r="G20" s="2" t="inlineStr">
        <is>
          <t>st-010</t>
        </is>
      </c>
      <c r="H20" s="2" t="inlineStr">
        <is>
          <t>xxxxxxxx-xxxx-xxxx-xxxx-xxxxxc661a03</t>
        </is>
      </c>
      <c r="I20" s="2" t="inlineStr">
        <is>
          <t>dt-prd-tpa-oeqrq2jxadm36</t>
        </is>
      </c>
      <c r="J20" s="2" t="inlineStr">
        <is>
          <t>rg-spoke-tpa-prd-imkltpplo5qyg</t>
        </is>
      </c>
      <c r="K20" s="2" t="inlineStr">
        <is>
          <t>sttpaprodfwubq55usdsyk</t>
        </is>
      </c>
      <c r="L20" s="2" t="inlineStr">
        <is>
          <t>/subscriptions/xxxxxxxx-xxxx-xxxx-xxxx-xxxxxc661a03/resourceGroups/rg-spoke-tpa-prd-imkltpplo5qyg/providers/Microsoft.Storage/storageAccounts/sttpaprodfwubq55usdsyk</t>
        </is>
      </c>
      <c r="M20" s="2" t="inlineStr">
        <is>
          <t>Immutable storage versioning is not enabled</t>
        </is>
      </c>
      <c r="N20" s="2" t="inlineStr">
        <is>
          <t/>
        </is>
      </c>
      <c r="O20" s="2" t="inlineStr">
        <is>
          <t/>
        </is>
      </c>
      <c r="P20" s="2" t="inlineStr">
        <is>
          <t/>
        </is>
      </c>
      <c r="Q20" s="2" t="inlineStr">
        <is>
          <t/>
        </is>
      </c>
      <c r="R20" s="2" t="str">
        <f>HYPERLINK("https://learn.microsoft.com/en-us/azure/well-architected/service-guides/storage-accounts/reliability","https://learn.microsoft.com/en-us/azure/well-architected/service-guides/storage-accounts/reliability")</f>
      </c>
    </row>
    <row r="21" s="3" customFormat="1">
      <c r="A21" s="3" t="inlineStr">
        <is>
          <t>Azure Resource Graph</t>
        </is>
      </c>
      <c r="B21" s="3" t="inlineStr">
        <is>
          <t>APRL</t>
        </is>
      </c>
      <c r="C21" s="3" t="inlineStr">
        <is>
          <t>MonitoringAndAlerting</t>
        </is>
      </c>
      <c r="D21" s="3" t="inlineStr">
        <is>
          <t>Medium</t>
        </is>
      </c>
      <c r="E21" s="3" t="inlineStr">
        <is>
          <t>microsoft.network/virtualnetworks</t>
        </is>
      </c>
      <c r="F21" s="3" t="inlineStr">
        <is>
          <t>Enable Virtual Network Flow Logs</t>
        </is>
      </c>
      <c r="G21" s="3" t="inlineStr">
        <is>
          <t>06b77be9-56a3-4d41-b362-8b295c5a283d</t>
        </is>
      </c>
      <c r="H21" s="3" t="inlineStr">
        <is>
          <t>xxxxxxxx-xxxx-xxxx-xxxx-xxxxxc661a03</t>
        </is>
      </c>
      <c r="I21" s="3" t="inlineStr">
        <is>
          <t>dt-prd-tpa-oeqrq2jxadm36</t>
        </is>
      </c>
      <c r="J21" s="3" t="inlineStr">
        <is>
          <t>rg-spoke-tpa-prd-imkltpplo5qyg</t>
        </is>
      </c>
      <c r="K21" s="3" t="inlineStr">
        <is>
          <t>vnet-spoke-tpa-prd</t>
        </is>
      </c>
      <c r="L21" s="3" t="inlineStr">
        <is>
          <t>/subscriptions/xxxxxxxx-xxxx-xxxx-xxxx-xxxxxc661a03/resourcegroups/rg-spoke-tpa-prd-imkltpplo5qyg/providers/microsoft.network/virtualnetworks/vnet-spoke-tpa-prd</t>
        </is>
      </c>
      <c r="M21" s="3" t="inlineStr">
        <is>
          <t>Missing Vnet Flow Log configuration</t>
        </is>
      </c>
      <c r="N21" s="3" t="inlineStr">
        <is>
          <t/>
        </is>
      </c>
      <c r="O21" s="3" t="inlineStr">
        <is>
          <t/>
        </is>
      </c>
      <c r="P21" s="3" t="inlineStr">
        <is>
          <t/>
        </is>
      </c>
      <c r="Q21" s="3" t="inlineStr">
        <is>
          <t/>
        </is>
      </c>
      <c r="R21" s="3" t="str">
        <f>HYPERLINK("https://learn.microsoft.com/azure/network-watcher/vnet-flow-logs-overview","https://learn.microsoft.com/azure/network-watcher/vnet-flow-logs-overview")</f>
      </c>
    </row>
    <row r="22" s="2" customFormat="1">
      <c r="A22" s="2" t="inlineStr">
        <is>
          <t>Azure Resource Graph</t>
        </is>
      </c>
      <c r="B22" s="2" t="inlineStr">
        <is>
          <t>AZQR</t>
        </is>
      </c>
      <c r="C22" s="2" t="inlineStr">
        <is>
          <t>Governance</t>
        </is>
      </c>
      <c r="D22" s="2" t="inlineStr">
        <is>
          <t>Low</t>
        </is>
      </c>
      <c r="E22" s="2" t="inlineStr">
        <is>
          <t>Microsoft.Network/networkWatchers</t>
        </is>
      </c>
      <c r="F22" s="2" t="inlineStr">
        <is>
          <t>Resource should have tags</t>
        </is>
      </c>
      <c r="G22" s="2" t="inlineStr">
        <is>
          <t>resources-001</t>
        </is>
      </c>
      <c r="H22" s="2" t="inlineStr">
        <is>
          <t>xxxxxxxx-xxxx-xxxx-xxxx-xxxxxc661a03</t>
        </is>
      </c>
      <c r="I22" s="2" t="inlineStr">
        <is>
          <t>dt-prd-tpa-oeqrq2jxadm36</t>
        </is>
      </c>
      <c r="J22" s="2" t="inlineStr">
        <is>
          <t>NetworkWatcherRG</t>
        </is>
      </c>
      <c r="K22" s="2" t="inlineStr">
        <is>
          <t>NetworkWatcher_northcentralus</t>
        </is>
      </c>
      <c r="L22" s="2" t="inlineStr">
        <is>
          <t>/subscriptions/xxxxxxxx-xxxx-xxxx-xxxx-xxxxxc661a03/resourceGroups/NetworkWatcherRG/providers/Microsoft.Network/networkWatchers/NetworkWatcher_northcentralus</t>
        </is>
      </c>
      <c r="M22" s="2" t="inlineStr">
        <is>
          <t>No tags configured</t>
        </is>
      </c>
      <c r="N22" s="2" t="inlineStr">
        <is>
          <t/>
        </is>
      </c>
      <c r="O22" s="2" t="inlineStr">
        <is>
          <t/>
        </is>
      </c>
      <c r="P22" s="2" t="inlineStr">
        <is>
          <t/>
        </is>
      </c>
      <c r="Q22" s="2" t="inlineStr">
        <is>
          <t/>
        </is>
      </c>
      <c r="R22" s="2" t="str">
        <f>HYPERLINK("https://learn.microsoft.com/en-us/azure/azure-resource-manager/management/tag-resources?tabs=json","https://learn.microsoft.com/en-us/azure/azure-resource-manager/management/tag-resources?tabs=json")</f>
      </c>
    </row>
    <row r="23" s="3" customFormat="1">
      <c r="A23" s="3" t="inlineStr">
        <is>
          <t>Azure Resource Graph</t>
        </is>
      </c>
      <c r="B23" s="3" t="inlineStr">
        <is>
          <t>AZQR</t>
        </is>
      </c>
      <c r="C23" s="3" t="inlineStr">
        <is>
          <t>Governance</t>
        </is>
      </c>
      <c r="D23" s="3" t="inlineStr">
        <is>
          <t>Low</t>
        </is>
      </c>
      <c r="E23" s="3" t="inlineStr">
        <is>
          <t>Microsoft.AppConfiguration/configurationStores</t>
        </is>
      </c>
      <c r="F23" s="3" t="inlineStr">
        <is>
          <t>Resource should have tags</t>
        </is>
      </c>
      <c r="G23" s="3" t="inlineStr">
        <is>
          <t>resources-001</t>
        </is>
      </c>
      <c r="H23" s="3" t="inlineStr">
        <is>
          <t>xxxxxxxx-xxxx-xxxx-xxxx-xxxxxc661a03</t>
        </is>
      </c>
      <c r="I23" s="3" t="inlineStr">
        <is>
          <t>dt-prd-tpa-oeqrq2jxadm36</t>
        </is>
      </c>
      <c r="J23" s="3" t="inlineStr">
        <is>
          <t>rg-spoke-tpa-prd-imkltpplo5qyg</t>
        </is>
      </c>
      <c r="K23" s="3" t="inlineStr">
        <is>
          <t>appcs-prod-3dv5vnwo5uxsi</t>
        </is>
      </c>
      <c r="L23" s="3" t="inlineStr">
        <is>
          <t>/subscriptions/xxxxxxxx-xxxx-xxxx-xxxx-xxxxxc661a03/resourceGroups/rg-spoke-tpa-prd-imkltpplo5qyg/providers/Microsoft.AppConfiguration/configurationStores/appcs-prod-3dv5vnwo5uxsi</t>
        </is>
      </c>
      <c r="M23" s="3" t="inlineStr">
        <is>
          <t>No tags configured</t>
        </is>
      </c>
      <c r="N23" s="3" t="inlineStr">
        <is>
          <t/>
        </is>
      </c>
      <c r="O23" s="3" t="inlineStr">
        <is>
          <t/>
        </is>
      </c>
      <c r="P23" s="3" t="inlineStr">
        <is>
          <t/>
        </is>
      </c>
      <c r="Q23" s="3" t="inlineStr">
        <is>
          <t/>
        </is>
      </c>
      <c r="R23" s="3" t="str">
        <f>HYPERLINK("https://learn.microsoft.com/en-us/azure/azure-resource-manager/management/tag-resources?tabs=json","https://learn.microsoft.com/en-us/azure/azure-resource-manager/management/tag-resources?tabs=json")</f>
      </c>
    </row>
    <row r="24" s="2" customFormat="1">
      <c r="A24" s="2" t="inlineStr">
        <is>
          <t>Azure Resource Graph</t>
        </is>
      </c>
      <c r="B24" s="2" t="inlineStr">
        <is>
          <t>AZQR</t>
        </is>
      </c>
      <c r="C24" s="2" t="inlineStr">
        <is>
          <t>Governance</t>
        </is>
      </c>
      <c r="D24" s="2" t="inlineStr">
        <is>
          <t>Low</t>
        </is>
      </c>
      <c r="E24" s="2" t="inlineStr">
        <is>
          <t>Microsoft.Cdn/profiles</t>
        </is>
      </c>
      <c r="F24" s="2" t="inlineStr">
        <is>
          <t>Resource should have tags</t>
        </is>
      </c>
      <c r="G24" s="2" t="inlineStr">
        <is>
          <t>resources-001</t>
        </is>
      </c>
      <c r="H24" s="2" t="inlineStr">
        <is>
          <t>xxxxxxxx-xxxx-xxxx-xxxx-xxxxxc661a03</t>
        </is>
      </c>
      <c r="I24" s="2" t="inlineStr">
        <is>
          <t>dt-prd-tpa-oeqrq2jxadm36</t>
        </is>
      </c>
      <c r="J24" s="2" t="inlineStr">
        <is>
          <t>rg-spoke-tpa-prd-imkltpplo5qyg</t>
        </is>
      </c>
      <c r="K24" s="2" t="inlineStr">
        <is>
          <t>az-fd-prod</t>
        </is>
      </c>
      <c r="L24" s="2" t="inlineStr">
        <is>
          <t>/subscriptions/xxxxxxxx-xxxx-xxxx-xxxx-xxxxxc661a03/resourceGroups/rg-spoke-tpa-prd-imkltpplo5qyg/providers/Microsoft.Cdn/profiles/az-fd-prod</t>
        </is>
      </c>
      <c r="M24" s="2" t="inlineStr">
        <is>
          <t>No tags configured</t>
        </is>
      </c>
      <c r="N24" s="2" t="inlineStr">
        <is>
          <t/>
        </is>
      </c>
      <c r="O24" s="2" t="inlineStr">
        <is>
          <t/>
        </is>
      </c>
      <c r="P24" s="2" t="inlineStr">
        <is>
          <t/>
        </is>
      </c>
      <c r="Q24" s="2" t="inlineStr">
        <is>
          <t/>
        </is>
      </c>
      <c r="R24" s="2" t="str">
        <f>HYPERLINK("https://learn.microsoft.com/en-us/azure/azure-resource-manager/management/tag-resources?tabs=json","https://learn.microsoft.com/en-us/azure/azure-resource-manager/management/tag-resources?tabs=json")</f>
      </c>
    </row>
    <row r="25" s="3" customFormat="1">
      <c r="A25" s="3" t="inlineStr">
        <is>
          <t>Azure Resource Graph</t>
        </is>
      </c>
      <c r="B25" s="3" t="inlineStr">
        <is>
          <t>AZQR</t>
        </is>
      </c>
      <c r="C25" s="3" t="inlineStr">
        <is>
          <t>Governance</t>
        </is>
      </c>
      <c r="D25" s="3" t="inlineStr">
        <is>
          <t>Low</t>
        </is>
      </c>
      <c r="E25" s="3" t="inlineStr">
        <is>
          <t>Microsoft.Cdn/profiles</t>
        </is>
      </c>
      <c r="F25" s="3" t="inlineStr">
        <is>
          <t>Resource should have tags</t>
        </is>
      </c>
      <c r="G25" s="3" t="inlineStr">
        <is>
          <t>resources-001</t>
        </is>
      </c>
      <c r="H25" s="3" t="inlineStr">
        <is>
          <t>xxxxxxxx-xxxx-xxxx-xxxx-xxxxxc661a03</t>
        </is>
      </c>
      <c r="I25" s="3" t="inlineStr">
        <is>
          <t>dt-prd-tpa-oeqrq2jxadm36</t>
        </is>
      </c>
      <c r="J25" s="3" t="inlineStr">
        <is>
          <t>rg-spoke-tpa-prd-imkltpplo5qyg</t>
        </is>
      </c>
      <c r="K25" s="3" t="inlineStr">
        <is>
          <t>az-ep-prod</t>
        </is>
      </c>
      <c r="L25" s="3" t="inlineStr">
        <is>
          <t>/subscriptions/xxxxxxxx-xxxx-xxxx-xxxx-xxxxxc661a03/resourceGroups/rg-spoke-tpa-prd-imkltpplo5qyg/providers/Microsoft.Cdn/profiles/az-fd-prod/afdendpoints/az-ep-prod</t>
        </is>
      </c>
      <c r="M25" s="3" t="inlineStr">
        <is>
          <t>No tags configured</t>
        </is>
      </c>
      <c r="N25" s="3" t="inlineStr">
        <is>
          <t/>
        </is>
      </c>
      <c r="O25" s="3" t="inlineStr">
        <is>
          <t/>
        </is>
      </c>
      <c r="P25" s="3" t="inlineStr">
        <is>
          <t/>
        </is>
      </c>
      <c r="Q25" s="3" t="inlineStr">
        <is>
          <t/>
        </is>
      </c>
      <c r="R25" s="3" t="str">
        <f>HYPERLINK("https://learn.microsoft.com/en-us/azure/azure-resource-manager/management/tag-resources?tabs=json","https://learn.microsoft.com/en-us/azure/azure-resource-manager/management/tag-resources?tabs=json")</f>
      </c>
    </row>
    <row r="26" s="2" customFormat="1">
      <c r="A26" s="2" t="inlineStr">
        <is>
          <t>Azure Resource Graph</t>
        </is>
      </c>
      <c r="B26" s="2" t="inlineStr">
        <is>
          <t>AZQR</t>
        </is>
      </c>
      <c r="C26" s="2" t="inlineStr">
        <is>
          <t>Governance</t>
        </is>
      </c>
      <c r="D26" s="2" t="inlineStr">
        <is>
          <t>Low</t>
        </is>
      </c>
      <c r="E26" s="2" t="inlineStr">
        <is>
          <t>Microsoft.Insights/components</t>
        </is>
      </c>
      <c r="F26" s="2" t="inlineStr">
        <is>
          <t>Resource should have tags</t>
        </is>
      </c>
      <c r="G26" s="2" t="inlineStr">
        <is>
          <t>resources-001</t>
        </is>
      </c>
      <c r="H26" s="2" t="inlineStr">
        <is>
          <t>xxxxxxxx-xxxx-xxxx-xxxx-xxxxxc661a03</t>
        </is>
      </c>
      <c r="I26" s="2" t="inlineStr">
        <is>
          <t>dt-prd-tpa-oeqrq2jxadm36</t>
        </is>
      </c>
      <c r="J26" s="2" t="inlineStr">
        <is>
          <t>rg-spoke-tpa-prd-imkltpplo5qyg</t>
        </is>
      </c>
      <c r="K26" s="2" t="inlineStr">
        <is>
          <t>ai-prod</t>
        </is>
      </c>
      <c r="L26" s="2" t="inlineStr">
        <is>
          <t>/subscriptions/xxxxxxxx-xxxx-xxxx-xxxx-xxxxxc661a03/resourceGroups/rg-spoke-tpa-prd-imkltpplo5qyg/providers/Microsoft.Insights/components/ai-prod</t>
        </is>
      </c>
      <c r="M26" s="2" t="inlineStr">
        <is>
          <t>No tags configured</t>
        </is>
      </c>
      <c r="N26" s="2" t="inlineStr">
        <is>
          <t/>
        </is>
      </c>
      <c r="O26" s="2" t="inlineStr">
        <is>
          <t/>
        </is>
      </c>
      <c r="P26" s="2" t="inlineStr">
        <is>
          <t/>
        </is>
      </c>
      <c r="Q26" s="2" t="inlineStr">
        <is>
          <t/>
        </is>
      </c>
      <c r="R26" s="2" t="str">
        <f>HYPERLINK("https://learn.microsoft.com/en-us/azure/azure-resource-manager/management/tag-resources?tabs=json","https://learn.microsoft.com/en-us/azure/azure-resource-manager/management/tag-resources?tabs=json")</f>
      </c>
    </row>
    <row r="27" s="3" customFormat="1">
      <c r="A27" s="3" t="inlineStr">
        <is>
          <t>Azure Resource Graph</t>
        </is>
      </c>
      <c r="B27" s="3" t="inlineStr">
        <is>
          <t>AZQR</t>
        </is>
      </c>
      <c r="C27" s="3" t="inlineStr">
        <is>
          <t>Governance</t>
        </is>
      </c>
      <c r="D27" s="3" t="inlineStr">
        <is>
          <t>Low</t>
        </is>
      </c>
      <c r="E27" s="3" t="inlineStr">
        <is>
          <t>Microsoft.KeyVault/vaults</t>
        </is>
      </c>
      <c r="F27" s="3" t="inlineStr">
        <is>
          <t>Resource should have tags</t>
        </is>
      </c>
      <c r="G27" s="3" t="inlineStr">
        <is>
          <t>resources-001</t>
        </is>
      </c>
      <c r="H27" s="3" t="inlineStr">
        <is>
          <t>xxxxxxxx-xxxx-xxxx-xxxx-xxxxxc661a03</t>
        </is>
      </c>
      <c r="I27" s="3" t="inlineStr">
        <is>
          <t>dt-prd-tpa-oeqrq2jxadm36</t>
        </is>
      </c>
      <c r="J27" s="3" t="inlineStr">
        <is>
          <t>rg-spoke-tpa-prd-imkltpplo5qyg</t>
        </is>
      </c>
      <c r="K27" s="3" t="inlineStr">
        <is>
          <t>kv-tpa-prod-ncus</t>
        </is>
      </c>
      <c r="L27" s="3" t="inlineStr">
        <is>
          <t>/subscriptions/xxxxxxxx-xxxx-xxxx-xxxx-xxxxxc661a03/resourceGroups/rg-spoke-tpa-prd-imkltpplo5qyg/providers/Microsoft.KeyVault/vaults/kv-tpa-prod-ncus</t>
        </is>
      </c>
      <c r="M27" s="3" t="inlineStr">
        <is>
          <t>No tags configured</t>
        </is>
      </c>
      <c r="N27" s="3" t="inlineStr">
        <is>
          <t/>
        </is>
      </c>
      <c r="O27" s="3" t="inlineStr">
        <is>
          <t/>
        </is>
      </c>
      <c r="P27" s="3" t="inlineStr">
        <is>
          <t/>
        </is>
      </c>
      <c r="Q27" s="3" t="inlineStr">
        <is>
          <t/>
        </is>
      </c>
      <c r="R27" s="3" t="str">
        <f>HYPERLINK("https://learn.microsoft.com/en-us/azure/azure-resource-manager/management/tag-resources?tabs=json","https://learn.microsoft.com/en-us/azure/azure-resource-manager/management/tag-resources?tabs=json")</f>
      </c>
    </row>
    <row r="28" s="2" customFormat="1">
      <c r="A28" s="2" t="inlineStr">
        <is>
          <t>Azure Resource Graph</t>
        </is>
      </c>
      <c r="B28" s="2" t="inlineStr">
        <is>
          <t>AZQR</t>
        </is>
      </c>
      <c r="C28" s="2" t="inlineStr">
        <is>
          <t>Governance</t>
        </is>
      </c>
      <c r="D28" s="2" t="inlineStr">
        <is>
          <t>Low</t>
        </is>
      </c>
      <c r="E28" s="2" t="inlineStr">
        <is>
          <t>Microsoft.Network/frontdoorWebApplicationFirewallPolicies</t>
        </is>
      </c>
      <c r="F28" s="2" t="inlineStr">
        <is>
          <t>Resource should have tags</t>
        </is>
      </c>
      <c r="G28" s="2" t="inlineStr">
        <is>
          <t>resources-001</t>
        </is>
      </c>
      <c r="H28" s="2" t="inlineStr">
        <is>
          <t>xxxxxxxx-xxxx-xxxx-xxxx-xxxxxc661a03</t>
        </is>
      </c>
      <c r="I28" s="2" t="inlineStr">
        <is>
          <t>dt-prd-tpa-oeqrq2jxadm36</t>
        </is>
      </c>
      <c r="J28" s="2" t="inlineStr">
        <is>
          <t>rg-spoke-tpa-prd-imkltpplo5qyg</t>
        </is>
      </c>
      <c r="K28" s="2" t="inlineStr">
        <is>
          <t>wafprod</t>
        </is>
      </c>
      <c r="L28" s="2" t="inlineStr">
        <is>
          <t>/subscriptions/xxxxxxxx-xxxx-xxxx-xxxx-xxxxxc661a03/resourceGroups/rg-spoke-tpa-prd-imkltpplo5qyg/providers/Microsoft.Network/frontdoorWebApplicationFirewallPolicies/wafprod</t>
        </is>
      </c>
      <c r="M28" s="2" t="inlineStr">
        <is>
          <t>No tags configured</t>
        </is>
      </c>
      <c r="N28" s="2" t="inlineStr">
        <is>
          <t/>
        </is>
      </c>
      <c r="O28" s="2" t="inlineStr">
        <is>
          <t/>
        </is>
      </c>
      <c r="P28" s="2" t="inlineStr">
        <is>
          <t/>
        </is>
      </c>
      <c r="Q28" s="2" t="inlineStr">
        <is>
          <t/>
        </is>
      </c>
      <c r="R28" s="2" t="str">
        <f>HYPERLINK("https://learn.microsoft.com/en-us/azure/azure-resource-manager/management/tag-resources?tabs=json","https://learn.microsoft.com/en-us/azure/azure-resource-manager/management/tag-resources?tabs=json")</f>
      </c>
    </row>
    <row r="29" s="3" customFormat="1">
      <c r="A29" s="3" t="inlineStr">
        <is>
          <t>Azure Resource Graph</t>
        </is>
      </c>
      <c r="B29" s="3" t="inlineStr">
        <is>
          <t>AZQR</t>
        </is>
      </c>
      <c r="C29" s="3" t="inlineStr">
        <is>
          <t>Governance</t>
        </is>
      </c>
      <c r="D29" s="3" t="inlineStr">
        <is>
          <t>Low</t>
        </is>
      </c>
      <c r="E29" s="3" t="inlineStr">
        <is>
          <t>Microsoft.Network/networkInterfaces</t>
        </is>
      </c>
      <c r="F29" s="3" t="inlineStr">
        <is>
          <t>Resource should have tags</t>
        </is>
      </c>
      <c r="G29" s="3" t="inlineStr">
        <is>
          <t>resources-001</t>
        </is>
      </c>
      <c r="H29" s="3" t="inlineStr">
        <is>
          <t>xxxxxxxx-xxxx-xxxx-xxxx-xxxxxc661a03</t>
        </is>
      </c>
      <c r="I29" s="3" t="inlineStr">
        <is>
          <t>dt-prd-tpa-oeqrq2jxadm36</t>
        </is>
      </c>
      <c r="J29" s="3" t="inlineStr">
        <is>
          <t>rg-spoke-tpa-prd-imkltpplo5qyg</t>
        </is>
      </c>
      <c r="K29" s="3" t="inlineStr">
        <is>
          <t>pe-appconfig-prod.nic.57a5b2d6-75b9-4ff1-b6c8-42750147fcce</t>
        </is>
      </c>
      <c r="L29" s="3" t="inlineStr">
        <is>
          <t>/subscriptions/xxxxxxxx-xxxx-xxxx-xxxx-xxxxxc661a03/resourceGroups/rg-spoke-tpa-prd-imkltpplo5qyg/providers/Microsoft.Network/networkInterfaces/pe-appconfig-prod.nic.57a5b2d6-75b9-4ff1-b6c8-42750147fcce</t>
        </is>
      </c>
      <c r="M29" s="3" t="inlineStr">
        <is>
          <t>No tags configured</t>
        </is>
      </c>
      <c r="N29" s="3" t="inlineStr">
        <is>
          <t/>
        </is>
      </c>
      <c r="O29" s="3" t="inlineStr">
        <is>
          <t/>
        </is>
      </c>
      <c r="P29" s="3" t="inlineStr">
        <is>
          <t/>
        </is>
      </c>
      <c r="Q29" s="3" t="inlineStr">
        <is>
          <t/>
        </is>
      </c>
      <c r="R29" s="3" t="str">
        <f>HYPERLINK("https://learn.microsoft.com/en-us/azure/azure-resource-manager/management/tag-resources?tabs=json","https://learn.microsoft.com/en-us/azure/azure-resource-manager/management/tag-resources?tabs=json")</f>
      </c>
    </row>
    <row r="30" s="2" customFormat="1">
      <c r="A30" s="2" t="inlineStr">
        <is>
          <t>Azure Resource Graph</t>
        </is>
      </c>
      <c r="B30" s="2" t="inlineStr">
        <is>
          <t>AZQR</t>
        </is>
      </c>
      <c r="C30" s="2" t="inlineStr">
        <is>
          <t>Governance</t>
        </is>
      </c>
      <c r="D30" s="2" t="inlineStr">
        <is>
          <t>Low</t>
        </is>
      </c>
      <c r="E30" s="2" t="inlineStr">
        <is>
          <t>Microsoft.Network/networkInterfaces</t>
        </is>
      </c>
      <c r="F30" s="2" t="inlineStr">
        <is>
          <t>Resource should have tags</t>
        </is>
      </c>
      <c r="G30" s="2" t="inlineStr">
        <is>
          <t>resources-001</t>
        </is>
      </c>
      <c r="H30" s="2" t="inlineStr">
        <is>
          <t>xxxxxxxx-xxxx-xxxx-xxxx-xxxxxc661a03</t>
        </is>
      </c>
      <c r="I30" s="2" t="inlineStr">
        <is>
          <t>dt-prd-tpa-oeqrq2jxadm36</t>
        </is>
      </c>
      <c r="J30" s="2" t="inlineStr">
        <is>
          <t>rg-spoke-tpa-prd-imkltpplo5qyg</t>
        </is>
      </c>
      <c r="K30" s="2" t="inlineStr">
        <is>
          <t>pe-kv-prod.nic.602ac5e6-465b-4396-86d8-9cf8b8ce96a5</t>
        </is>
      </c>
      <c r="L30" s="2" t="inlineStr">
        <is>
          <t>/subscriptions/xxxxxxxx-xxxx-xxxx-xxxx-xxxxxc661a03/resourceGroups/rg-spoke-tpa-prd-imkltpplo5qyg/providers/Microsoft.Network/networkInterfaces/pe-kv-prod.nic.602ac5e6-465b-4396-86d8-9cf8b8ce96a5</t>
        </is>
      </c>
      <c r="M30" s="2" t="inlineStr">
        <is>
          <t>No tags configured</t>
        </is>
      </c>
      <c r="N30" s="2" t="inlineStr">
        <is>
          <t/>
        </is>
      </c>
      <c r="O30" s="2" t="inlineStr">
        <is>
          <t/>
        </is>
      </c>
      <c r="P30" s="2" t="inlineStr">
        <is>
          <t/>
        </is>
      </c>
      <c r="Q30" s="2" t="inlineStr">
        <is>
          <t/>
        </is>
      </c>
      <c r="R30" s="2" t="str">
        <f>HYPERLINK("https://learn.microsoft.com/en-us/azure/azure-resource-manager/management/tag-resources?tabs=json","https://learn.microsoft.com/en-us/azure/azure-resource-manager/management/tag-resources?tabs=json")</f>
      </c>
    </row>
    <row r="31" s="3" customFormat="1">
      <c r="A31" s="3" t="inlineStr">
        <is>
          <t>Azure Resource Graph</t>
        </is>
      </c>
      <c r="B31" s="3" t="inlineStr">
        <is>
          <t>AZQR</t>
        </is>
      </c>
      <c r="C31" s="3" t="inlineStr">
        <is>
          <t>Governance</t>
        </is>
      </c>
      <c r="D31" s="3" t="inlineStr">
        <is>
          <t>Low</t>
        </is>
      </c>
      <c r="E31" s="3" t="inlineStr">
        <is>
          <t>Microsoft.Network/networkInterfaces</t>
        </is>
      </c>
      <c r="F31" s="3" t="inlineStr">
        <is>
          <t>Resource should have tags</t>
        </is>
      </c>
      <c r="G31" s="3" t="inlineStr">
        <is>
          <t>resources-001</t>
        </is>
      </c>
      <c r="H31" s="3" t="inlineStr">
        <is>
          <t>xxxxxxxx-xxxx-xxxx-xxxx-xxxxxc661a03</t>
        </is>
      </c>
      <c r="I31" s="3" t="inlineStr">
        <is>
          <t>dt-prd-tpa-oeqrq2jxadm36</t>
        </is>
      </c>
      <c r="J31" s="3" t="inlineStr">
        <is>
          <t>rg-spoke-tpa-prd-imkltpplo5qyg</t>
        </is>
      </c>
      <c r="K31" s="3" t="inlineStr">
        <is>
          <t>pe-sql-prod.nic.28ca4fe4-8a01-47b4-bf90-07c1636d7a35</t>
        </is>
      </c>
      <c r="L31" s="3" t="inlineStr">
        <is>
          <t>/subscriptions/xxxxxxxx-xxxx-xxxx-xxxx-xxxxxc661a03/resourceGroups/rg-spoke-tpa-prd-imkltpplo5qyg/providers/Microsoft.Network/networkInterfaces/pe-sql-prod.nic.28ca4fe4-8a01-47b4-bf90-07c1636d7a35</t>
        </is>
      </c>
      <c r="M31" s="3" t="inlineStr">
        <is>
          <t>No tags configured</t>
        </is>
      </c>
      <c r="N31" s="3" t="inlineStr">
        <is>
          <t/>
        </is>
      </c>
      <c r="O31" s="3" t="inlineStr">
        <is>
          <t/>
        </is>
      </c>
      <c r="P31" s="3" t="inlineStr">
        <is>
          <t/>
        </is>
      </c>
      <c r="Q31" s="3" t="inlineStr">
        <is>
          <t/>
        </is>
      </c>
      <c r="R31" s="3" t="str">
        <f>HYPERLINK("https://learn.microsoft.com/en-us/azure/azure-resource-manager/management/tag-resources?tabs=json","https://learn.microsoft.com/en-us/azure/azure-resource-manager/management/tag-resources?tabs=json")</f>
      </c>
    </row>
    <row r="32" s="2" customFormat="1">
      <c r="A32" s="2" t="inlineStr">
        <is>
          <t>Azure Resource Graph</t>
        </is>
      </c>
      <c r="B32" s="2" t="inlineStr">
        <is>
          <t>AZQR</t>
        </is>
      </c>
      <c r="C32" s="2" t="inlineStr">
        <is>
          <t>Governance</t>
        </is>
      </c>
      <c r="D32" s="2" t="inlineStr">
        <is>
          <t>Low</t>
        </is>
      </c>
      <c r="E32" s="2" t="inlineStr">
        <is>
          <t>Microsoft.Network/networkInterfaces</t>
        </is>
      </c>
      <c r="F32" s="2" t="inlineStr">
        <is>
          <t>Resource should have tags</t>
        </is>
      </c>
      <c r="G32" s="2" t="inlineStr">
        <is>
          <t>resources-001</t>
        </is>
      </c>
      <c r="H32" s="2" t="inlineStr">
        <is>
          <t>xxxxxxxx-xxxx-xxxx-xxxx-xxxxxc661a03</t>
        </is>
      </c>
      <c r="I32" s="2" t="inlineStr">
        <is>
          <t>dt-prd-tpa-oeqrq2jxadm36</t>
        </is>
      </c>
      <c r="J32" s="2" t="inlineStr">
        <is>
          <t>rg-spoke-tpa-prd-imkltpplo5qyg</t>
        </is>
      </c>
      <c r="K32" s="2" t="inlineStr">
        <is>
          <t>pe-storage-prod.nic.25514168-aefe-47e6-93ca-5e89e90211a6</t>
        </is>
      </c>
      <c r="L32" s="2" t="inlineStr">
        <is>
          <t>/subscriptions/xxxxxxxx-xxxx-xxxx-xxxx-xxxxxc661a03/resourceGroups/rg-spoke-tpa-prd-imkltpplo5qyg/providers/Microsoft.Network/networkInterfaces/pe-storage-prod.nic.25514168-aefe-47e6-93ca-5e89e90211a6</t>
        </is>
      </c>
      <c r="M32" s="2" t="inlineStr">
        <is>
          <t>No tags configured</t>
        </is>
      </c>
      <c r="N32" s="2" t="inlineStr">
        <is>
          <t/>
        </is>
      </c>
      <c r="O32" s="2" t="inlineStr">
        <is>
          <t/>
        </is>
      </c>
      <c r="P32" s="2" t="inlineStr">
        <is>
          <t/>
        </is>
      </c>
      <c r="Q32" s="2" t="inlineStr">
        <is>
          <t/>
        </is>
      </c>
      <c r="R32" s="2" t="str">
        <f>HYPERLINK("https://learn.microsoft.com/en-us/azure/azure-resource-manager/management/tag-resources?tabs=json","https://learn.microsoft.com/en-us/azure/azure-resource-manager/management/tag-resources?tabs=json")</f>
      </c>
    </row>
    <row r="33" s="3" customFormat="1">
      <c r="A33" s="3" t="inlineStr">
        <is>
          <t>Azure Resource Graph</t>
        </is>
      </c>
      <c r="B33" s="3" t="inlineStr">
        <is>
          <t>AZQR</t>
        </is>
      </c>
      <c r="C33" s="3" t="inlineStr">
        <is>
          <t>Governance</t>
        </is>
      </c>
      <c r="D33" s="3" t="inlineStr">
        <is>
          <t>Low</t>
        </is>
      </c>
      <c r="E33" s="3" t="inlineStr">
        <is>
          <t>Microsoft.Network/networkSecurityGroups</t>
        </is>
      </c>
      <c r="F33" s="3" t="inlineStr">
        <is>
          <t>Resource should have tags</t>
        </is>
      </c>
      <c r="G33" s="3" t="inlineStr">
        <is>
          <t>resources-001</t>
        </is>
      </c>
      <c r="H33" s="3" t="inlineStr">
        <is>
          <t>xxxxxxxx-xxxx-xxxx-xxxx-xxxxxc661a03</t>
        </is>
      </c>
      <c r="I33" s="3" t="inlineStr">
        <is>
          <t>dt-prd-tpa-oeqrq2jxadm36</t>
        </is>
      </c>
      <c r="J33" s="3" t="inlineStr">
        <is>
          <t>rg-spoke-tpa-prd-imkltpplo5qyg</t>
        </is>
      </c>
      <c r="K33" s="3" t="inlineStr">
        <is>
          <t>nsg-snet-tpa-prod-ncus</t>
        </is>
      </c>
      <c r="L33" s="3" t="inlineStr">
        <is>
          <t>/subscriptions/xxxxxxxx-xxxx-xxxx-xxxx-xxxxxc661a03/resourceGroups/rg-spoke-tpa-prd-imkltpplo5qyg/providers/Microsoft.Network/networkSecurityGroups/nsg-snet-tpa-prod-ncus</t>
        </is>
      </c>
      <c r="M33" s="3" t="inlineStr">
        <is>
          <t>No tags configured</t>
        </is>
      </c>
      <c r="N33" s="3" t="inlineStr">
        <is>
          <t/>
        </is>
      </c>
      <c r="O33" s="3" t="inlineStr">
        <is>
          <t/>
        </is>
      </c>
      <c r="P33" s="3" t="inlineStr">
        <is>
          <t/>
        </is>
      </c>
      <c r="Q33" s="3" t="inlineStr">
        <is>
          <t/>
        </is>
      </c>
      <c r="R33" s="3" t="str">
        <f>HYPERLINK("https://learn.microsoft.com/en-us/azure/azure-resource-manager/management/tag-resources?tabs=json","https://learn.microsoft.com/en-us/azure/azure-resource-manager/management/tag-resources?tabs=json")</f>
      </c>
    </row>
    <row r="34" s="2" customFormat="1">
      <c r="A34" s="2" t="inlineStr">
        <is>
          <t>Azure Resource Graph</t>
        </is>
      </c>
      <c r="B34" s="2" t="inlineStr">
        <is>
          <t>AZQR</t>
        </is>
      </c>
      <c r="C34" s="2" t="inlineStr">
        <is>
          <t>Governance</t>
        </is>
      </c>
      <c r="D34" s="2" t="inlineStr">
        <is>
          <t>Low</t>
        </is>
      </c>
      <c r="E34" s="2" t="inlineStr">
        <is>
          <t>Microsoft.Network/privateEndpoints</t>
        </is>
      </c>
      <c r="F34" s="2" t="inlineStr">
        <is>
          <t>Resource should have tags</t>
        </is>
      </c>
      <c r="G34" s="2" t="inlineStr">
        <is>
          <t>resources-001</t>
        </is>
      </c>
      <c r="H34" s="2" t="inlineStr">
        <is>
          <t>xxxxxxxx-xxxx-xxxx-xxxx-xxxxxc661a03</t>
        </is>
      </c>
      <c r="I34" s="2" t="inlineStr">
        <is>
          <t>dt-prd-tpa-oeqrq2jxadm36</t>
        </is>
      </c>
      <c r="J34" s="2" t="inlineStr">
        <is>
          <t>rg-spoke-tpa-prd-imkltpplo5qyg</t>
        </is>
      </c>
      <c r="K34" s="2" t="inlineStr">
        <is>
          <t>pe-appconfig-prod</t>
        </is>
      </c>
      <c r="L34" s="2" t="inlineStr">
        <is>
          <t>/subscriptions/xxxxxxxx-xxxx-xxxx-xxxx-xxxxxc661a03/resourceGroups/rg-spoke-tpa-prd-imkltpplo5qyg/providers/Microsoft.Network/privateEndpoints/pe-appconfig-prod</t>
        </is>
      </c>
      <c r="M34" s="2" t="inlineStr">
        <is>
          <t>No tags configured</t>
        </is>
      </c>
      <c r="N34" s="2" t="inlineStr">
        <is>
          <t/>
        </is>
      </c>
      <c r="O34" s="2" t="inlineStr">
        <is>
          <t/>
        </is>
      </c>
      <c r="P34" s="2" t="inlineStr">
        <is>
          <t/>
        </is>
      </c>
      <c r="Q34" s="2" t="inlineStr">
        <is>
          <t/>
        </is>
      </c>
      <c r="R34" s="2" t="str">
        <f>HYPERLINK("https://learn.microsoft.com/en-us/azure/azure-resource-manager/management/tag-resources?tabs=json","https://learn.microsoft.com/en-us/azure/azure-resource-manager/management/tag-resources?tabs=json")</f>
      </c>
    </row>
    <row r="35" s="3" customFormat="1">
      <c r="A35" s="3" t="inlineStr">
        <is>
          <t>Azure Resource Graph</t>
        </is>
      </c>
      <c r="B35" s="3" t="inlineStr">
        <is>
          <t>AZQR</t>
        </is>
      </c>
      <c r="C35" s="3" t="inlineStr">
        <is>
          <t>Governance</t>
        </is>
      </c>
      <c r="D35" s="3" t="inlineStr">
        <is>
          <t>Low</t>
        </is>
      </c>
      <c r="E35" s="3" t="inlineStr">
        <is>
          <t>Microsoft.Network/privateEndpoints</t>
        </is>
      </c>
      <c r="F35" s="3" t="inlineStr">
        <is>
          <t>Resource should have tags</t>
        </is>
      </c>
      <c r="G35" s="3" t="inlineStr">
        <is>
          <t>resources-001</t>
        </is>
      </c>
      <c r="H35" s="3" t="inlineStr">
        <is>
          <t>xxxxxxxx-xxxx-xxxx-xxxx-xxxxxc661a03</t>
        </is>
      </c>
      <c r="I35" s="3" t="inlineStr">
        <is>
          <t>dt-prd-tpa-oeqrq2jxadm36</t>
        </is>
      </c>
      <c r="J35" s="3" t="inlineStr">
        <is>
          <t>rg-spoke-tpa-prd-imkltpplo5qyg</t>
        </is>
      </c>
      <c r="K35" s="3" t="inlineStr">
        <is>
          <t>pe-kv-prod</t>
        </is>
      </c>
      <c r="L35" s="3" t="inlineStr">
        <is>
          <t>/subscriptions/xxxxxxxx-xxxx-xxxx-xxxx-xxxxxc661a03/resourceGroups/rg-spoke-tpa-prd-imkltpplo5qyg/providers/Microsoft.Network/privateEndpoints/pe-kv-prod</t>
        </is>
      </c>
      <c r="M35" s="3" t="inlineStr">
        <is>
          <t>No tags configured</t>
        </is>
      </c>
      <c r="N35" s="3" t="inlineStr">
        <is>
          <t/>
        </is>
      </c>
      <c r="O35" s="3" t="inlineStr">
        <is>
          <t/>
        </is>
      </c>
      <c r="P35" s="3" t="inlineStr">
        <is>
          <t/>
        </is>
      </c>
      <c r="Q35" s="3" t="inlineStr">
        <is>
          <t/>
        </is>
      </c>
      <c r="R35" s="3" t="str">
        <f>HYPERLINK("https://learn.microsoft.com/en-us/azure/azure-resource-manager/management/tag-resources?tabs=json","https://learn.microsoft.com/en-us/azure/azure-resource-manager/management/tag-resources?tabs=json")</f>
      </c>
    </row>
    <row r="36" s="2" customFormat="1">
      <c r="A36" s="2" t="inlineStr">
        <is>
          <t>Azure Resource Graph</t>
        </is>
      </c>
      <c r="B36" s="2" t="inlineStr">
        <is>
          <t>AZQR</t>
        </is>
      </c>
      <c r="C36" s="2" t="inlineStr">
        <is>
          <t>Governance</t>
        </is>
      </c>
      <c r="D36" s="2" t="inlineStr">
        <is>
          <t>Low</t>
        </is>
      </c>
      <c r="E36" s="2" t="inlineStr">
        <is>
          <t>Microsoft.Network/privateEndpoints</t>
        </is>
      </c>
      <c r="F36" s="2" t="inlineStr">
        <is>
          <t>Resource should have tags</t>
        </is>
      </c>
      <c r="G36" s="2" t="inlineStr">
        <is>
          <t>resources-001</t>
        </is>
      </c>
      <c r="H36" s="2" t="inlineStr">
        <is>
          <t>xxxxxxxx-xxxx-xxxx-xxxx-xxxxxc661a03</t>
        </is>
      </c>
      <c r="I36" s="2" t="inlineStr">
        <is>
          <t>dt-prd-tpa-oeqrq2jxadm36</t>
        </is>
      </c>
      <c r="J36" s="2" t="inlineStr">
        <is>
          <t>rg-spoke-tpa-prd-imkltpplo5qyg</t>
        </is>
      </c>
      <c r="K36" s="2" t="inlineStr">
        <is>
          <t>pe-sql-prod</t>
        </is>
      </c>
      <c r="L36" s="2" t="inlineStr">
        <is>
          <t>/subscriptions/xxxxxxxx-xxxx-xxxx-xxxx-xxxxxc661a03/resourceGroups/rg-spoke-tpa-prd-imkltpplo5qyg/providers/Microsoft.Network/privateEndpoints/pe-sql-prod</t>
        </is>
      </c>
      <c r="M36" s="2" t="inlineStr">
        <is>
          <t>No tags configured</t>
        </is>
      </c>
      <c r="N36" s="2" t="inlineStr">
        <is>
          <t/>
        </is>
      </c>
      <c r="O36" s="2" t="inlineStr">
        <is>
          <t/>
        </is>
      </c>
      <c r="P36" s="2" t="inlineStr">
        <is>
          <t/>
        </is>
      </c>
      <c r="Q36" s="2" t="inlineStr">
        <is>
          <t/>
        </is>
      </c>
      <c r="R36" s="2" t="str">
        <f>HYPERLINK("https://learn.microsoft.com/en-us/azure/azure-resource-manager/management/tag-resources?tabs=json","https://learn.microsoft.com/en-us/azure/azure-resource-manager/management/tag-resources?tabs=json")</f>
      </c>
    </row>
    <row r="37" s="3" customFormat="1">
      <c r="A37" s="3" t="inlineStr">
        <is>
          <t>Azure Resource Graph</t>
        </is>
      </c>
      <c r="B37" s="3" t="inlineStr">
        <is>
          <t>AZQR</t>
        </is>
      </c>
      <c r="C37" s="3" t="inlineStr">
        <is>
          <t>Governance</t>
        </is>
      </c>
      <c r="D37" s="3" t="inlineStr">
        <is>
          <t>Low</t>
        </is>
      </c>
      <c r="E37" s="3" t="inlineStr">
        <is>
          <t>Microsoft.Network/privateEndpoints</t>
        </is>
      </c>
      <c r="F37" s="3" t="inlineStr">
        <is>
          <t>Resource should have tags</t>
        </is>
      </c>
      <c r="G37" s="3" t="inlineStr">
        <is>
          <t>resources-001</t>
        </is>
      </c>
      <c r="H37" s="3" t="inlineStr">
        <is>
          <t>xxxxxxxx-xxxx-xxxx-xxxx-xxxxxc661a03</t>
        </is>
      </c>
      <c r="I37" s="3" t="inlineStr">
        <is>
          <t>dt-prd-tpa-oeqrq2jxadm36</t>
        </is>
      </c>
      <c r="J37" s="3" t="inlineStr">
        <is>
          <t>rg-spoke-tpa-prd-imkltpplo5qyg</t>
        </is>
      </c>
      <c r="K37" s="3" t="inlineStr">
        <is>
          <t>pe-storage-prod</t>
        </is>
      </c>
      <c r="L37" s="3" t="inlineStr">
        <is>
          <t>/subscriptions/xxxxxxxx-xxxx-xxxx-xxxx-xxxxxc661a03/resourceGroups/rg-spoke-tpa-prd-imkltpplo5qyg/providers/Microsoft.Network/privateEndpoints/pe-storage-prod</t>
        </is>
      </c>
      <c r="M37" s="3" t="inlineStr">
        <is>
          <t>No tags configured</t>
        </is>
      </c>
      <c r="N37" s="3" t="inlineStr">
        <is>
          <t/>
        </is>
      </c>
      <c r="O37" s="3" t="inlineStr">
        <is>
          <t/>
        </is>
      </c>
      <c r="P37" s="3" t="inlineStr">
        <is>
          <t/>
        </is>
      </c>
      <c r="Q37" s="3" t="inlineStr">
        <is>
          <t/>
        </is>
      </c>
      <c r="R37" s="3" t="str">
        <f>HYPERLINK("https://learn.microsoft.com/en-us/azure/azure-resource-manager/management/tag-resources?tabs=json","https://learn.microsoft.com/en-us/azure/azure-resource-manager/management/tag-resources?tabs=json")</f>
      </c>
    </row>
    <row r="38" s="2" customFormat="1">
      <c r="A38" s="2" t="inlineStr">
        <is>
          <t>Azure Resource Graph</t>
        </is>
      </c>
      <c r="B38" s="2" t="inlineStr">
        <is>
          <t>AZQR</t>
        </is>
      </c>
      <c r="C38" s="2" t="inlineStr">
        <is>
          <t>Governance</t>
        </is>
      </c>
      <c r="D38" s="2" t="inlineStr">
        <is>
          <t>Low</t>
        </is>
      </c>
      <c r="E38" s="2" t="inlineStr">
        <is>
          <t>Microsoft.OperationalInsights/workspaces</t>
        </is>
      </c>
      <c r="F38" s="2" t="inlineStr">
        <is>
          <t>Resource should have tags</t>
        </is>
      </c>
      <c r="G38" s="2" t="inlineStr">
        <is>
          <t>resources-001</t>
        </is>
      </c>
      <c r="H38" s="2" t="inlineStr">
        <is>
          <t>xxxxxxxx-xxxx-xxxx-xxxx-xxxxxc661a03</t>
        </is>
      </c>
      <c r="I38" s="2" t="inlineStr">
        <is>
          <t>dt-prd-tpa-oeqrq2jxadm36</t>
        </is>
      </c>
      <c r="J38" s="2" t="inlineStr">
        <is>
          <t>rg-spoke-tpa-prd-imkltpplo5qyg</t>
        </is>
      </c>
      <c r="K38" s="2" t="inlineStr">
        <is>
          <t>log-prod</t>
        </is>
      </c>
      <c r="L38" s="2" t="inlineStr">
        <is>
          <t>/subscriptions/xxxxxxxx-xxxx-xxxx-xxxx-xxxxxc661a03/resourceGroups/rg-spoke-tpa-prd-imkltpplo5qyg/providers/Microsoft.OperationalInsights/workspaces/log-prod</t>
        </is>
      </c>
      <c r="M38" s="2" t="inlineStr">
        <is>
          <t>No tags configured</t>
        </is>
      </c>
      <c r="N38" s="2" t="inlineStr">
        <is>
          <t/>
        </is>
      </c>
      <c r="O38" s="2" t="inlineStr">
        <is>
          <t/>
        </is>
      </c>
      <c r="P38" s="2" t="inlineStr">
        <is>
          <t/>
        </is>
      </c>
      <c r="Q38" s="2" t="inlineStr">
        <is>
          <t/>
        </is>
      </c>
      <c r="R38" s="2" t="str">
        <f>HYPERLINK("https://learn.microsoft.com/en-us/azure/azure-resource-manager/management/tag-resources?tabs=json","https://learn.microsoft.com/en-us/azure/azure-resource-manager/management/tag-resources?tabs=json")</f>
      </c>
    </row>
    <row r="39" s="3" customFormat="1">
      <c r="A39" s="3" t="inlineStr">
        <is>
          <t>Azure Resource Graph</t>
        </is>
      </c>
      <c r="B39" s="3" t="inlineStr">
        <is>
          <t>AZQR</t>
        </is>
      </c>
      <c r="C39" s="3" t="inlineStr">
        <is>
          <t>Governance</t>
        </is>
      </c>
      <c r="D39" s="3" t="inlineStr">
        <is>
          <t>Low</t>
        </is>
      </c>
      <c r="E39" s="3" t="inlineStr">
        <is>
          <t>Microsoft.Sql/servers</t>
        </is>
      </c>
      <c r="F39" s="3" t="inlineStr">
        <is>
          <t>Resource should have tags</t>
        </is>
      </c>
      <c r="G39" s="3" t="inlineStr">
        <is>
          <t>resources-001</t>
        </is>
      </c>
      <c r="H39" s="3" t="inlineStr">
        <is>
          <t>xxxxxxxx-xxxx-xxxx-xxxx-xxxxxc661a03</t>
        </is>
      </c>
      <c r="I39" s="3" t="inlineStr">
        <is>
          <t>dt-prd-tpa-oeqrq2jxadm36</t>
        </is>
      </c>
      <c r="J39" s="3" t="inlineStr">
        <is>
          <t>rg-spoke-tpa-prd-imkltpplo5qyg</t>
        </is>
      </c>
      <c r="K39" s="3" t="inlineStr">
        <is>
          <t>sql-prod-fwubq55usdsyk</t>
        </is>
      </c>
      <c r="L39" s="3" t="inlineStr">
        <is>
          <t>/subscriptions/xxxxxxxx-xxxx-xxxx-xxxx-xxxxxc661a03/resourceGroups/rg-spoke-tpa-prd-imkltpplo5qyg/providers/Microsoft.Sql/servers/sql-prod-fwubq55usdsyk</t>
        </is>
      </c>
      <c r="M39" s="3" t="inlineStr">
        <is>
          <t>No tags configured</t>
        </is>
      </c>
      <c r="N39" s="3" t="inlineStr">
        <is>
          <t/>
        </is>
      </c>
      <c r="O39" s="3" t="inlineStr">
        <is>
          <t/>
        </is>
      </c>
      <c r="P39" s="3" t="inlineStr">
        <is>
          <t/>
        </is>
      </c>
      <c r="Q39" s="3" t="inlineStr">
        <is>
          <t/>
        </is>
      </c>
      <c r="R39" s="3" t="str">
        <f>HYPERLINK("https://learn.microsoft.com/en-us/azure/azure-resource-manager/management/tag-resources?tabs=json","https://learn.microsoft.com/en-us/azure/azure-resource-manager/management/tag-resources?tabs=json")</f>
      </c>
    </row>
    <row r="40" s="2" customFormat="1">
      <c r="A40" s="2" t="inlineStr">
        <is>
          <t>Azure Resource Graph</t>
        </is>
      </c>
      <c r="B40" s="2" t="inlineStr">
        <is>
          <t>AZQR</t>
        </is>
      </c>
      <c r="C40" s="2" t="inlineStr">
        <is>
          <t>Governance</t>
        </is>
      </c>
      <c r="D40" s="2" t="inlineStr">
        <is>
          <t>Low</t>
        </is>
      </c>
      <c r="E40" s="2" t="inlineStr">
        <is>
          <t>Microsoft.Sql/servers</t>
        </is>
      </c>
      <c r="F40" s="2" t="inlineStr">
        <is>
          <t>Resource should have tags</t>
        </is>
      </c>
      <c r="G40" s="2" t="inlineStr">
        <is>
          <t>resources-001</t>
        </is>
      </c>
      <c r="H40" s="2" t="inlineStr">
        <is>
          <t>xxxxxxxx-xxxx-xxxx-xxxx-xxxxxc661a03</t>
        </is>
      </c>
      <c r="I40" s="2" t="inlineStr">
        <is>
          <t>dt-prd-tpa-oeqrq2jxadm36</t>
        </is>
      </c>
      <c r="J40" s="2" t="inlineStr">
        <is>
          <t>rg-spoke-tpa-prd-imkltpplo5qyg</t>
        </is>
      </c>
      <c r="K40" s="2" t="inlineStr">
        <is>
          <t>db-config</t>
        </is>
      </c>
      <c r="L40" s="2" t="inlineStr">
        <is>
          <t>/subscriptions/xxxxxxxx-xxxx-xxxx-xxxx-xxxxxc661a03/resourceGroups/rg-spoke-tpa-prd-imkltpplo5qyg/providers/Microsoft.Sql/servers/sql-prod-fwubq55usdsyk/databases/db-config</t>
        </is>
      </c>
      <c r="M40" s="2" t="inlineStr">
        <is>
          <t>No tags configured</t>
        </is>
      </c>
      <c r="N40" s="2" t="inlineStr">
        <is>
          <t/>
        </is>
      </c>
      <c r="O40" s="2" t="inlineStr">
        <is>
          <t/>
        </is>
      </c>
      <c r="P40" s="2" t="inlineStr">
        <is>
          <t/>
        </is>
      </c>
      <c r="Q40" s="2" t="inlineStr">
        <is>
          <t/>
        </is>
      </c>
      <c r="R40" s="2" t="str">
        <f>HYPERLINK("https://learn.microsoft.com/en-us/azure/azure-resource-manager/management/tag-resources?tabs=json","https://learn.microsoft.com/en-us/azure/azure-resource-manager/management/tag-resources?tabs=json")</f>
      </c>
    </row>
    <row r="41" s="3" customFormat="1">
      <c r="A41" s="3" t="inlineStr">
        <is>
          <t>Azure Resource Graph</t>
        </is>
      </c>
      <c r="B41" s="3" t="inlineStr">
        <is>
          <t>AZQR</t>
        </is>
      </c>
      <c r="C41" s="3" t="inlineStr">
        <is>
          <t>Governance</t>
        </is>
      </c>
      <c r="D41" s="3" t="inlineStr">
        <is>
          <t>Low</t>
        </is>
      </c>
      <c r="E41" s="3" t="inlineStr">
        <is>
          <t>Microsoft.Sql/servers</t>
        </is>
      </c>
      <c r="F41" s="3" t="inlineStr">
        <is>
          <t>Resource should have tags</t>
        </is>
      </c>
      <c r="G41" s="3" t="inlineStr">
        <is>
          <t>resources-001</t>
        </is>
      </c>
      <c r="H41" s="3" t="inlineStr">
        <is>
          <t>xxxxxxxx-xxxx-xxxx-xxxx-xxxxxc661a03</t>
        </is>
      </c>
      <c r="I41" s="3" t="inlineStr">
        <is>
          <t>dt-prd-tpa-oeqrq2jxadm36</t>
        </is>
      </c>
      <c r="J41" s="3" t="inlineStr">
        <is>
          <t>rg-spoke-tpa-prd-imkltpplo5qyg</t>
        </is>
      </c>
      <c r="K41" s="3" t="inlineStr">
        <is>
          <t>master</t>
        </is>
      </c>
      <c r="L41" s="3" t="inlineStr">
        <is>
          <t>/subscriptions/xxxxxxxx-xxxx-xxxx-xxxx-xxxxxc661a03/resourceGroups/rg-spoke-tpa-prd-imkltpplo5qyg/providers/Microsoft.Sql/servers/sql-prod-fwubq55usdsyk/databases/master</t>
        </is>
      </c>
      <c r="M41" s="3" t="inlineStr">
        <is>
          <t>No tags configured</t>
        </is>
      </c>
      <c r="N41" s="3" t="inlineStr">
        <is>
          <t/>
        </is>
      </c>
      <c r="O41" s="3" t="inlineStr">
        <is>
          <t/>
        </is>
      </c>
      <c r="P41" s="3" t="inlineStr">
        <is>
          <t/>
        </is>
      </c>
      <c r="Q41" s="3" t="inlineStr">
        <is>
          <t/>
        </is>
      </c>
      <c r="R41" s="3" t="str">
        <f>HYPERLINK("https://learn.microsoft.com/en-us/azure/azure-resource-manager/management/tag-resources?tabs=json","https://learn.microsoft.com/en-us/azure/azure-resource-manager/management/tag-resources?tabs=json")</f>
      </c>
    </row>
    <row r="42" s="2" customFormat="1">
      <c r="A42" s="2" t="inlineStr">
        <is>
          <t>Azure Resource Graph</t>
        </is>
      </c>
      <c r="B42" s="2" t="inlineStr">
        <is>
          <t>AZQR</t>
        </is>
      </c>
      <c r="C42" s="2" t="inlineStr">
        <is>
          <t>Governance</t>
        </is>
      </c>
      <c r="D42" s="2" t="inlineStr">
        <is>
          <t>Low</t>
        </is>
      </c>
      <c r="E42" s="2" t="inlineStr">
        <is>
          <t>Microsoft.Storage/storageAccounts</t>
        </is>
      </c>
      <c r="F42" s="2" t="inlineStr">
        <is>
          <t>Resource should have tags</t>
        </is>
      </c>
      <c r="G42" s="2" t="inlineStr">
        <is>
          <t>resources-001</t>
        </is>
      </c>
      <c r="H42" s="2" t="inlineStr">
        <is>
          <t>xxxxxxxx-xxxx-xxxx-xxxx-xxxxxc661a03</t>
        </is>
      </c>
      <c r="I42" s="2" t="inlineStr">
        <is>
          <t>dt-prd-tpa-oeqrq2jxadm36</t>
        </is>
      </c>
      <c r="J42" s="2" t="inlineStr">
        <is>
          <t>rg-spoke-tpa-prd-imkltpplo5qyg</t>
        </is>
      </c>
      <c r="K42" s="2" t="inlineStr">
        <is>
          <t>sttpaprodfwubq55usdsyk</t>
        </is>
      </c>
      <c r="L42" s="2" t="inlineStr">
        <is>
          <t>/subscriptions/xxxxxxxx-xxxx-xxxx-xxxx-xxxxxc661a03/resourceGroups/rg-spoke-tpa-prd-imkltpplo5qyg/providers/Microsoft.Storage/storageAccounts/sttpaprodfwubq55usdsyk</t>
        </is>
      </c>
      <c r="M42" s="2" t="inlineStr">
        <is>
          <t>No tags configured</t>
        </is>
      </c>
      <c r="N42" s="2" t="inlineStr">
        <is>
          <t/>
        </is>
      </c>
      <c r="O42" s="2" t="inlineStr">
        <is>
          <t/>
        </is>
      </c>
      <c r="P42" s="2" t="inlineStr">
        <is>
          <t/>
        </is>
      </c>
      <c r="Q42" s="2" t="inlineStr">
        <is>
          <t/>
        </is>
      </c>
      <c r="R42" s="2" t="str">
        <f>HYPERLINK("https://learn.microsoft.com/en-us/azure/azure-resource-manager/management/tag-resources?tabs=json","https://learn.microsoft.com/en-us/azure/azure-resource-manager/management/tag-resources?tabs=json")</f>
      </c>
    </row>
    <row r="43" s="3" customFormat="1">
      <c r="A43" s="3" t="inlineStr">
        <is>
          <t>Azure Resource Graph</t>
        </is>
      </c>
      <c r="B43" s="3" t="inlineStr">
        <is>
          <t>AZQR</t>
        </is>
      </c>
      <c r="C43" s="3" t="inlineStr">
        <is>
          <t>Governance</t>
        </is>
      </c>
      <c r="D43" s="3" t="inlineStr">
        <is>
          <t>Low</t>
        </is>
      </c>
      <c r="E43" s="3" t="inlineStr">
        <is>
          <t>Microsoft.Web/serverFarms</t>
        </is>
      </c>
      <c r="F43" s="3" t="inlineStr">
        <is>
          <t>Resource should have tags</t>
        </is>
      </c>
      <c r="G43" s="3" t="inlineStr">
        <is>
          <t>resources-001</t>
        </is>
      </c>
      <c r="H43" s="3" t="inlineStr">
        <is>
          <t>xxxxxxxx-xxxx-xxxx-xxxx-xxxxxc661a03</t>
        </is>
      </c>
      <c r="I43" s="3" t="inlineStr">
        <is>
          <t>dt-prd-tpa-oeqrq2jxadm36</t>
        </is>
      </c>
      <c r="J43" s="3" t="inlineStr">
        <is>
          <t>rg-spoke-tpa-prd-imkltpplo5qyg</t>
        </is>
      </c>
      <c r="K43" s="3" t="inlineStr">
        <is>
          <t>asp-tpa-prod-ncus</t>
        </is>
      </c>
      <c r="L43" s="3" t="inlineStr">
        <is>
          <t>/subscriptions/xxxxxxxx-xxxx-xxxx-xxxx-xxxxxc661a03/resourceGroups/rg-spoke-tpa-prd-imkltpplo5qyg/providers/Microsoft.Web/serverFarms/asp-tpa-prod-ncus</t>
        </is>
      </c>
      <c r="M43" s="3" t="inlineStr">
        <is>
          <t>No tags configured</t>
        </is>
      </c>
      <c r="N43" s="3" t="inlineStr">
        <is>
          <t/>
        </is>
      </c>
      <c r="O43" s="3" t="inlineStr">
        <is>
          <t/>
        </is>
      </c>
      <c r="P43" s="3" t="inlineStr">
        <is>
          <t/>
        </is>
      </c>
      <c r="Q43" s="3" t="inlineStr">
        <is>
          <t/>
        </is>
      </c>
      <c r="R43" s="3" t="str">
        <f>HYPERLINK("https://learn.microsoft.com/en-us/azure/azure-resource-manager/management/tag-resources?tabs=json","https://learn.microsoft.com/en-us/azure/azure-resource-manager/management/tag-resources?tabs=json")</f>
      </c>
    </row>
    <row r="44" s="2" customFormat="1">
      <c r="A44" s="2" t="inlineStr">
        <is>
          <t>Azure Resource Graph</t>
        </is>
      </c>
      <c r="B44" s="2" t="inlineStr">
        <is>
          <t>AZQR</t>
        </is>
      </c>
      <c r="C44" s="2" t="inlineStr">
        <is>
          <t>Governance</t>
        </is>
      </c>
      <c r="D44" s="2" t="inlineStr">
        <is>
          <t>Low</t>
        </is>
      </c>
      <c r="E44" s="2" t="inlineStr">
        <is>
          <t>Microsoft.Network/networkWatchers</t>
        </is>
      </c>
      <c r="F44" s="2" t="inlineStr">
        <is>
          <t>Resource should comply with naming conventions</t>
        </is>
      </c>
      <c r="G44" s="2" t="inlineStr">
        <is>
          <t>resources-002</t>
        </is>
      </c>
      <c r="H44" s="2" t="inlineStr">
        <is>
          <t>xxxxxxxx-xxxx-xxxx-xxxx-xxxxxc661a03</t>
        </is>
      </c>
      <c r="I44" s="2" t="inlineStr">
        <is>
          <t>dt-prd-tpa-oeqrq2jxadm36</t>
        </is>
      </c>
      <c r="J44" s="2" t="inlineStr">
        <is>
          <t>NetworkWatcherRG</t>
        </is>
      </c>
      <c r="K44" s="2" t="inlineStr">
        <is>
          <t>NetworkWatcher_northcentralus</t>
        </is>
      </c>
      <c r="L44" s="2" t="inlineStr">
        <is>
          <t>/subscriptions/xxxxxxxx-xxxx-xxxx-xxxx-xxxxxc661a03/resourceGroups/NetworkWatcherRG/providers/Microsoft.Network/networkWatchers/NetworkWatcher_northcentralus</t>
        </is>
      </c>
      <c r="M44" s="2" t="inlineStr">
        <is>
          <t>Expected prefix: nw, Actual: NetworkWatcher_northcentralus</t>
        </is>
      </c>
      <c r="N44" s="2" t="inlineStr">
        <is>
          <t/>
        </is>
      </c>
      <c r="O44" s="2" t="inlineStr">
        <is>
          <t/>
        </is>
      </c>
      <c r="P44" s="2" t="inlineStr">
        <is>
          <t/>
        </is>
      </c>
      <c r="Q44" s="2" t="inlineStr">
        <is>
          <t/>
        </is>
      </c>
      <c r="R44" s="2" t="str">
        <f>HYPERLINK("https://learn.microsoft.com/en-us/azure/cloud-adoption-framework/ready/azure-best-practices/resource-abbreviations","https://learn.microsoft.com/en-us/azure/cloud-adoption-framework/ready/azure-best-practices/resource-abbreviations")</f>
      </c>
    </row>
    <row r="45" s="3" customFormat="1">
      <c r="A45" s="3" t="inlineStr">
        <is>
          <t>Azure Resource Graph</t>
        </is>
      </c>
      <c r="B45" s="3" t="inlineStr">
        <is>
          <t>AZQR</t>
        </is>
      </c>
      <c r="C45" s="3" t="inlineStr">
        <is>
          <t>Governance</t>
        </is>
      </c>
      <c r="D45" s="3" t="inlineStr">
        <is>
          <t>Low</t>
        </is>
      </c>
      <c r="E45" s="3" t="inlineStr">
        <is>
          <t>Microsoft.Cdn/profiles</t>
        </is>
      </c>
      <c r="F45" s="3" t="inlineStr">
        <is>
          <t>Resource should comply with naming conventions</t>
        </is>
      </c>
      <c r="G45" s="3" t="inlineStr">
        <is>
          <t>resources-002</t>
        </is>
      </c>
      <c r="H45" s="3" t="inlineStr">
        <is>
          <t>xxxxxxxx-xxxx-xxxx-xxxx-xxxxxc661a03</t>
        </is>
      </c>
      <c r="I45" s="3" t="inlineStr">
        <is>
          <t>dt-prd-tpa-oeqrq2jxadm36</t>
        </is>
      </c>
      <c r="J45" s="3" t="inlineStr">
        <is>
          <t>rg-spoke-tpa-prd-imkltpplo5qyg</t>
        </is>
      </c>
      <c r="K45" s="3" t="inlineStr">
        <is>
          <t>az-fd-prod</t>
        </is>
      </c>
      <c r="L45" s="3" t="inlineStr">
        <is>
          <t>/subscriptions/xxxxxxxx-xxxx-xxxx-xxxx-xxxxxc661a03/resourceGroups/rg-spoke-tpa-prd-imkltpplo5qyg/providers/Microsoft.Cdn/profiles/az-fd-prod</t>
        </is>
      </c>
      <c r="M45" s="3" t="inlineStr">
        <is>
          <t>Expected prefix: afd, Actual: az-fd-prod</t>
        </is>
      </c>
      <c r="N45" s="3" t="inlineStr">
        <is>
          <t/>
        </is>
      </c>
      <c r="O45" s="3" t="inlineStr">
        <is>
          <t/>
        </is>
      </c>
      <c r="P45" s="3" t="inlineStr">
        <is>
          <t/>
        </is>
      </c>
      <c r="Q45" s="3" t="inlineStr">
        <is>
          <t/>
        </is>
      </c>
      <c r="R45" s="3" t="str">
        <f>HYPERLINK("https://learn.microsoft.com/en-us/azure/cloud-adoption-framework/ready/azure-best-practices/resource-abbreviations","https://learn.microsoft.com/en-us/azure/cloud-adoption-framework/ready/azure-best-practices/resource-abbreviations")</f>
      </c>
    </row>
    <row r="46" s="2" customFormat="1">
      <c r="A46" s="2" t="inlineStr">
        <is>
          <t>Azure Resource Graph</t>
        </is>
      </c>
      <c r="B46" s="2" t="inlineStr">
        <is>
          <t>AZQR</t>
        </is>
      </c>
      <c r="C46" s="2" t="inlineStr">
        <is>
          <t>Governance</t>
        </is>
      </c>
      <c r="D46" s="2" t="inlineStr">
        <is>
          <t>Low</t>
        </is>
      </c>
      <c r="E46" s="2" t="inlineStr">
        <is>
          <t>Microsoft.Insights/components</t>
        </is>
      </c>
      <c r="F46" s="2" t="inlineStr">
        <is>
          <t>Resource should comply with naming conventions</t>
        </is>
      </c>
      <c r="G46" s="2" t="inlineStr">
        <is>
          <t>resources-002</t>
        </is>
      </c>
      <c r="H46" s="2" t="inlineStr">
        <is>
          <t>xxxxxxxx-xxxx-xxxx-xxxx-xxxxxc661a03</t>
        </is>
      </c>
      <c r="I46" s="2" t="inlineStr">
        <is>
          <t>dt-prd-tpa-oeqrq2jxadm36</t>
        </is>
      </c>
      <c r="J46" s="2" t="inlineStr">
        <is>
          <t>rg-spoke-tpa-prd-imkltpplo5qyg</t>
        </is>
      </c>
      <c r="K46" s="2" t="inlineStr">
        <is>
          <t>ai-prod</t>
        </is>
      </c>
      <c r="L46" s="2" t="inlineStr">
        <is>
          <t>/subscriptions/xxxxxxxx-xxxx-xxxx-xxxx-xxxxxc661a03/resourceGroups/rg-spoke-tpa-prd-imkltpplo5qyg/providers/Microsoft.Insights/components/ai-prod</t>
        </is>
      </c>
      <c r="M46" s="2" t="inlineStr">
        <is>
          <t>Expected prefix: appi, Actual: ai-prod</t>
        </is>
      </c>
      <c r="N46" s="2" t="inlineStr">
        <is>
          <t/>
        </is>
      </c>
      <c r="O46" s="2" t="inlineStr">
        <is>
          <t/>
        </is>
      </c>
      <c r="P46" s="2" t="inlineStr">
        <is>
          <t/>
        </is>
      </c>
      <c r="Q46" s="2" t="inlineStr">
        <is>
          <t/>
        </is>
      </c>
      <c r="R46" s="2" t="str">
        <f>HYPERLINK("https://learn.microsoft.com/en-us/azure/cloud-adoption-framework/ready/azure-best-practices/resource-abbreviations","https://learn.microsoft.com/en-us/azure/cloud-adoption-framework/ready/azure-best-practices/resource-abbreviations")</f>
      </c>
    </row>
    <row r="47" s="3" customFormat="1">
      <c r="A47" s="3" t="inlineStr">
        <is>
          <t>Azure Resource Graph</t>
        </is>
      </c>
      <c r="B47" s="3" t="inlineStr">
        <is>
          <t>AZQR</t>
        </is>
      </c>
      <c r="C47" s="3" t="inlineStr">
        <is>
          <t>Governance</t>
        </is>
      </c>
      <c r="D47" s="3" t="inlineStr">
        <is>
          <t>Low</t>
        </is>
      </c>
      <c r="E47" s="3" t="inlineStr">
        <is>
          <t>Microsoft.Network/frontdoorWebApplicationFirewallPolicies</t>
        </is>
      </c>
      <c r="F47" s="3" t="inlineStr">
        <is>
          <t>Resource should comply with naming conventions</t>
        </is>
      </c>
      <c r="G47" s="3" t="inlineStr">
        <is>
          <t>resources-002</t>
        </is>
      </c>
      <c r="H47" s="3" t="inlineStr">
        <is>
          <t>xxxxxxxx-xxxx-xxxx-xxxx-xxxxxc661a03</t>
        </is>
      </c>
      <c r="I47" s="3" t="inlineStr">
        <is>
          <t>dt-prd-tpa-oeqrq2jxadm36</t>
        </is>
      </c>
      <c r="J47" s="3" t="inlineStr">
        <is>
          <t>rg-spoke-tpa-prd-imkltpplo5qyg</t>
        </is>
      </c>
      <c r="K47" s="3" t="inlineStr">
        <is>
          <t>wafprod</t>
        </is>
      </c>
      <c r="L47" s="3" t="inlineStr">
        <is>
          <t>/subscriptions/xxxxxxxx-xxxx-xxxx-xxxx-xxxxxc661a03/resourceGroups/rg-spoke-tpa-prd-imkltpplo5qyg/providers/Microsoft.Network/frontdoorWebApplicationFirewallPolicies/wafprod</t>
        </is>
      </c>
      <c r="M47" s="3" t="inlineStr">
        <is>
          <t>Expected prefix: fdfp, Actual: wafprod</t>
        </is>
      </c>
      <c r="N47" s="3" t="inlineStr">
        <is>
          <t/>
        </is>
      </c>
      <c r="O47" s="3" t="inlineStr">
        <is>
          <t/>
        </is>
      </c>
      <c r="P47" s="3" t="inlineStr">
        <is>
          <t/>
        </is>
      </c>
      <c r="Q47" s="3" t="inlineStr">
        <is>
          <t/>
        </is>
      </c>
      <c r="R47" s="3" t="str">
        <f>HYPERLINK("https://learn.microsoft.com/en-us/azure/cloud-adoption-framework/ready/azure-best-practices/resource-abbreviations","https://learn.microsoft.com/en-us/azure/cloud-adoption-framework/ready/azure-best-practices/resource-abbreviations")</f>
      </c>
    </row>
    <row r="48" s="2" customFormat="1">
      <c r="A48" s="2" t="inlineStr">
        <is>
          <t>Azure Resource Graph</t>
        </is>
      </c>
      <c r="B48" s="2" t="inlineStr">
        <is>
          <t>AZQR</t>
        </is>
      </c>
      <c r="C48" s="2" t="inlineStr">
        <is>
          <t>Governance</t>
        </is>
      </c>
      <c r="D48" s="2" t="inlineStr">
        <is>
          <t>Low</t>
        </is>
      </c>
      <c r="E48" s="2" t="inlineStr">
        <is>
          <t>Microsoft.Network/networkInterfaces</t>
        </is>
      </c>
      <c r="F48" s="2" t="inlineStr">
        <is>
          <t>Resource should comply with naming conventions</t>
        </is>
      </c>
      <c r="G48" s="2" t="inlineStr">
        <is>
          <t>resources-002</t>
        </is>
      </c>
      <c r="H48" s="2" t="inlineStr">
        <is>
          <t>xxxxxxxx-xxxx-xxxx-xxxx-xxxxxc661a03</t>
        </is>
      </c>
      <c r="I48" s="2" t="inlineStr">
        <is>
          <t>dt-prd-tpa-oeqrq2jxadm36</t>
        </is>
      </c>
      <c r="J48" s="2" t="inlineStr">
        <is>
          <t>rg-spoke-tpa-prd-imkltpplo5qyg</t>
        </is>
      </c>
      <c r="K48" s="2" t="inlineStr">
        <is>
          <t>pe-appconfig-prod.nic.57a5b2d6-75b9-4ff1-b6c8-42750147fcce</t>
        </is>
      </c>
      <c r="L48" s="2" t="inlineStr">
        <is>
          <t>/subscriptions/xxxxxxxx-xxxx-xxxx-xxxx-xxxxxc661a03/resourceGroups/rg-spoke-tpa-prd-imkltpplo5qyg/providers/Microsoft.Network/networkInterfaces/pe-appconfig-prod.nic.57a5b2d6-75b9-4ff1-b6c8-42750147fcce</t>
        </is>
      </c>
      <c r="M48" s="2" t="inlineStr">
        <is>
          <t>Expected prefix: nic, Actual: pe-appconfig-prod.nic.57a5b2d6-75b9-4ff1-b6c8-42750147fcce</t>
        </is>
      </c>
      <c r="N48" s="2" t="inlineStr">
        <is>
          <t/>
        </is>
      </c>
      <c r="O48" s="2" t="inlineStr">
        <is>
          <t/>
        </is>
      </c>
      <c r="P48" s="2" t="inlineStr">
        <is>
          <t/>
        </is>
      </c>
      <c r="Q48" s="2" t="inlineStr">
        <is>
          <t/>
        </is>
      </c>
      <c r="R48" s="2" t="str">
        <f>HYPERLINK("https://learn.microsoft.com/en-us/azure/cloud-adoption-framework/ready/azure-best-practices/resource-abbreviations","https://learn.microsoft.com/en-us/azure/cloud-adoption-framework/ready/azure-best-practices/resource-abbreviations")</f>
      </c>
    </row>
    <row r="49" s="3" customFormat="1">
      <c r="A49" s="3" t="inlineStr">
        <is>
          <t>Azure Resource Graph</t>
        </is>
      </c>
      <c r="B49" s="3" t="inlineStr">
        <is>
          <t>AZQR</t>
        </is>
      </c>
      <c r="C49" s="3" t="inlineStr">
        <is>
          <t>Governance</t>
        </is>
      </c>
      <c r="D49" s="3" t="inlineStr">
        <is>
          <t>Low</t>
        </is>
      </c>
      <c r="E49" s="3" t="inlineStr">
        <is>
          <t>Microsoft.Network/networkInterfaces</t>
        </is>
      </c>
      <c r="F49" s="3" t="inlineStr">
        <is>
          <t>Resource should comply with naming conventions</t>
        </is>
      </c>
      <c r="G49" s="3" t="inlineStr">
        <is>
          <t>resources-002</t>
        </is>
      </c>
      <c r="H49" s="3" t="inlineStr">
        <is>
          <t>xxxxxxxx-xxxx-xxxx-xxxx-xxxxxc661a03</t>
        </is>
      </c>
      <c r="I49" s="3" t="inlineStr">
        <is>
          <t>dt-prd-tpa-oeqrq2jxadm36</t>
        </is>
      </c>
      <c r="J49" s="3" t="inlineStr">
        <is>
          <t>rg-spoke-tpa-prd-imkltpplo5qyg</t>
        </is>
      </c>
      <c r="K49" s="3" t="inlineStr">
        <is>
          <t>pe-kv-prod.nic.602ac5e6-465b-4396-86d8-9cf8b8ce96a5</t>
        </is>
      </c>
      <c r="L49" s="3" t="inlineStr">
        <is>
          <t>/subscriptions/xxxxxxxx-xxxx-xxxx-xxxx-xxxxxc661a03/resourceGroups/rg-spoke-tpa-prd-imkltpplo5qyg/providers/Microsoft.Network/networkInterfaces/pe-kv-prod.nic.602ac5e6-465b-4396-86d8-9cf8b8ce96a5</t>
        </is>
      </c>
      <c r="M49" s="3" t="inlineStr">
        <is>
          <t>Expected prefix: nic, Actual: pe-kv-prod.nic.602ac5e6-465b-4396-86d8-9cf8b8ce96a5</t>
        </is>
      </c>
      <c r="N49" s="3" t="inlineStr">
        <is>
          <t/>
        </is>
      </c>
      <c r="O49" s="3" t="inlineStr">
        <is>
          <t/>
        </is>
      </c>
      <c r="P49" s="3" t="inlineStr">
        <is>
          <t/>
        </is>
      </c>
      <c r="Q49" s="3" t="inlineStr">
        <is>
          <t/>
        </is>
      </c>
      <c r="R49" s="3" t="str">
        <f>HYPERLINK("https://learn.microsoft.com/en-us/azure/cloud-adoption-framework/ready/azure-best-practices/resource-abbreviations","https://learn.microsoft.com/en-us/azure/cloud-adoption-framework/ready/azure-best-practices/resource-abbreviations")</f>
      </c>
    </row>
    <row r="50" s="2" customFormat="1">
      <c r="A50" s="2" t="inlineStr">
        <is>
          <t>Azure Resource Graph</t>
        </is>
      </c>
      <c r="B50" s="2" t="inlineStr">
        <is>
          <t>AZQR</t>
        </is>
      </c>
      <c r="C50" s="2" t="inlineStr">
        <is>
          <t>Governance</t>
        </is>
      </c>
      <c r="D50" s="2" t="inlineStr">
        <is>
          <t>Low</t>
        </is>
      </c>
      <c r="E50" s="2" t="inlineStr">
        <is>
          <t>Microsoft.Network/networkInterfaces</t>
        </is>
      </c>
      <c r="F50" s="2" t="inlineStr">
        <is>
          <t>Resource should comply with naming conventions</t>
        </is>
      </c>
      <c r="G50" s="2" t="inlineStr">
        <is>
          <t>resources-002</t>
        </is>
      </c>
      <c r="H50" s="2" t="inlineStr">
        <is>
          <t>xxxxxxxx-xxxx-xxxx-xxxx-xxxxxc661a03</t>
        </is>
      </c>
      <c r="I50" s="2" t="inlineStr">
        <is>
          <t>dt-prd-tpa-oeqrq2jxadm36</t>
        </is>
      </c>
      <c r="J50" s="2" t="inlineStr">
        <is>
          <t>rg-spoke-tpa-prd-imkltpplo5qyg</t>
        </is>
      </c>
      <c r="K50" s="2" t="inlineStr">
        <is>
          <t>pe-sql-prod.nic.28ca4fe4-8a01-47b4-bf90-07c1636d7a35</t>
        </is>
      </c>
      <c r="L50" s="2" t="inlineStr">
        <is>
          <t>/subscriptions/xxxxxxxx-xxxx-xxxx-xxxx-xxxxxc661a03/resourceGroups/rg-spoke-tpa-prd-imkltpplo5qyg/providers/Microsoft.Network/networkInterfaces/pe-sql-prod.nic.28ca4fe4-8a01-47b4-bf90-07c1636d7a35</t>
        </is>
      </c>
      <c r="M50" s="2" t="inlineStr">
        <is>
          <t>Expected prefix: nic, Actual: pe-sql-prod.nic.28ca4fe4-8a01-47b4-bf90-07c1636d7a35</t>
        </is>
      </c>
      <c r="N50" s="2" t="inlineStr">
        <is>
          <t/>
        </is>
      </c>
      <c r="O50" s="2" t="inlineStr">
        <is>
          <t/>
        </is>
      </c>
      <c r="P50" s="2" t="inlineStr">
        <is>
          <t/>
        </is>
      </c>
      <c r="Q50" s="2" t="inlineStr">
        <is>
          <t/>
        </is>
      </c>
      <c r="R50" s="2" t="str">
        <f>HYPERLINK("https://learn.microsoft.com/en-us/azure/cloud-adoption-framework/ready/azure-best-practices/resource-abbreviations","https://learn.microsoft.com/en-us/azure/cloud-adoption-framework/ready/azure-best-practices/resource-abbreviations")</f>
      </c>
    </row>
    <row r="51" s="3" customFormat="1">
      <c r="A51" s="3" t="inlineStr">
        <is>
          <t>Azure Resource Graph</t>
        </is>
      </c>
      <c r="B51" s="3" t="inlineStr">
        <is>
          <t>AZQR</t>
        </is>
      </c>
      <c r="C51" s="3" t="inlineStr">
        <is>
          <t>Governance</t>
        </is>
      </c>
      <c r="D51" s="3" t="inlineStr">
        <is>
          <t>Low</t>
        </is>
      </c>
      <c r="E51" s="3" t="inlineStr">
        <is>
          <t>Microsoft.Network/networkInterfaces</t>
        </is>
      </c>
      <c r="F51" s="3" t="inlineStr">
        <is>
          <t>Resource should comply with naming conventions</t>
        </is>
      </c>
      <c r="G51" s="3" t="inlineStr">
        <is>
          <t>resources-002</t>
        </is>
      </c>
      <c r="H51" s="3" t="inlineStr">
        <is>
          <t>xxxxxxxx-xxxx-xxxx-xxxx-xxxxxc661a03</t>
        </is>
      </c>
      <c r="I51" s="3" t="inlineStr">
        <is>
          <t>dt-prd-tpa-oeqrq2jxadm36</t>
        </is>
      </c>
      <c r="J51" s="3" t="inlineStr">
        <is>
          <t>rg-spoke-tpa-prd-imkltpplo5qyg</t>
        </is>
      </c>
      <c r="K51" s="3" t="inlineStr">
        <is>
          <t>pe-storage-prod.nic.25514168-aefe-47e6-93ca-5e89e90211a6</t>
        </is>
      </c>
      <c r="L51" s="3" t="inlineStr">
        <is>
          <t>/subscriptions/xxxxxxxx-xxxx-xxxx-xxxx-xxxxxc661a03/resourceGroups/rg-spoke-tpa-prd-imkltpplo5qyg/providers/Microsoft.Network/networkInterfaces/pe-storage-prod.nic.25514168-aefe-47e6-93ca-5e89e90211a6</t>
        </is>
      </c>
      <c r="M51" s="3" t="inlineStr">
        <is>
          <t>Expected prefix: nic, Actual: pe-storage-prod.nic.25514168-aefe-47e6-93ca-5e89e90211a6</t>
        </is>
      </c>
      <c r="N51" s="3" t="inlineStr">
        <is>
          <t/>
        </is>
      </c>
      <c r="O51" s="3" t="inlineStr">
        <is>
          <t/>
        </is>
      </c>
      <c r="P51" s="3" t="inlineStr">
        <is>
          <t/>
        </is>
      </c>
      <c r="Q51" s="3" t="inlineStr">
        <is>
          <t/>
        </is>
      </c>
      <c r="R51" s="3" t="str">
        <f>HYPERLINK("https://learn.microsoft.com/en-us/azure/cloud-adoption-framework/ready/azure-best-practices/resource-abbreviations","https://learn.microsoft.com/en-us/azure/cloud-adoption-framework/ready/azure-best-practices/resource-abbreviations")</f>
      </c>
    </row>
    <row r="52" s="2" customFormat="1">
      <c r="A52" s="2" t="inlineStr">
        <is>
          <t>Azure Resource Graph</t>
        </is>
      </c>
      <c r="B52" s="2" t="inlineStr">
        <is>
          <t>AZQR</t>
        </is>
      </c>
      <c r="C52" s="2" t="inlineStr">
        <is>
          <t>Governance</t>
        </is>
      </c>
      <c r="D52" s="2" t="inlineStr">
        <is>
          <t>Low</t>
        </is>
      </c>
      <c r="E52" s="2" t="inlineStr">
        <is>
          <t>Microsoft.Network/privateEndpoints</t>
        </is>
      </c>
      <c r="F52" s="2" t="inlineStr">
        <is>
          <t>Resource should comply with naming conventions</t>
        </is>
      </c>
      <c r="G52" s="2" t="inlineStr">
        <is>
          <t>resources-002</t>
        </is>
      </c>
      <c r="H52" s="2" t="inlineStr">
        <is>
          <t>xxxxxxxx-xxxx-xxxx-xxxx-xxxxxc661a03</t>
        </is>
      </c>
      <c r="I52" s="2" t="inlineStr">
        <is>
          <t>dt-prd-tpa-oeqrq2jxadm36</t>
        </is>
      </c>
      <c r="J52" s="2" t="inlineStr">
        <is>
          <t>rg-spoke-tpa-prd-imkltpplo5qyg</t>
        </is>
      </c>
      <c r="K52" s="2" t="inlineStr">
        <is>
          <t>pe-appconfig-prod</t>
        </is>
      </c>
      <c r="L52" s="2" t="inlineStr">
        <is>
          <t>/subscriptions/xxxxxxxx-xxxx-xxxx-xxxx-xxxxxc661a03/resourceGroups/rg-spoke-tpa-prd-imkltpplo5qyg/providers/Microsoft.Network/privateEndpoints/pe-appconfig-prod</t>
        </is>
      </c>
      <c r="M52" s="2" t="inlineStr">
        <is>
          <t>Expected prefix: pep, Actual: pe-appconfig-prod</t>
        </is>
      </c>
      <c r="N52" s="2" t="inlineStr">
        <is>
          <t/>
        </is>
      </c>
      <c r="O52" s="2" t="inlineStr">
        <is>
          <t/>
        </is>
      </c>
      <c r="P52" s="2" t="inlineStr">
        <is>
          <t/>
        </is>
      </c>
      <c r="Q52" s="2" t="inlineStr">
        <is>
          <t/>
        </is>
      </c>
      <c r="R52" s="2" t="str">
        <f>HYPERLINK("https://learn.microsoft.com/en-us/azure/cloud-adoption-framework/ready/azure-best-practices/resource-abbreviations","https://learn.microsoft.com/en-us/azure/cloud-adoption-framework/ready/azure-best-practices/resource-abbreviations")</f>
      </c>
    </row>
    <row r="53" s="3" customFormat="1">
      <c r="A53" s="3" t="inlineStr">
        <is>
          <t>Azure Resource Graph</t>
        </is>
      </c>
      <c r="B53" s="3" t="inlineStr">
        <is>
          <t>AZQR</t>
        </is>
      </c>
      <c r="C53" s="3" t="inlineStr">
        <is>
          <t>Governance</t>
        </is>
      </c>
      <c r="D53" s="3" t="inlineStr">
        <is>
          <t>Low</t>
        </is>
      </c>
      <c r="E53" s="3" t="inlineStr">
        <is>
          <t>Microsoft.Network/privateEndpoints</t>
        </is>
      </c>
      <c r="F53" s="3" t="inlineStr">
        <is>
          <t>Resource should comply with naming conventions</t>
        </is>
      </c>
      <c r="G53" s="3" t="inlineStr">
        <is>
          <t>resources-002</t>
        </is>
      </c>
      <c r="H53" s="3" t="inlineStr">
        <is>
          <t>xxxxxxxx-xxxx-xxxx-xxxx-xxxxxc661a03</t>
        </is>
      </c>
      <c r="I53" s="3" t="inlineStr">
        <is>
          <t>dt-prd-tpa-oeqrq2jxadm36</t>
        </is>
      </c>
      <c r="J53" s="3" t="inlineStr">
        <is>
          <t>rg-spoke-tpa-prd-imkltpplo5qyg</t>
        </is>
      </c>
      <c r="K53" s="3" t="inlineStr">
        <is>
          <t>pe-kv-prod</t>
        </is>
      </c>
      <c r="L53" s="3" t="inlineStr">
        <is>
          <t>/subscriptions/xxxxxxxx-xxxx-xxxx-xxxx-xxxxxc661a03/resourceGroups/rg-spoke-tpa-prd-imkltpplo5qyg/providers/Microsoft.Network/privateEndpoints/pe-kv-prod</t>
        </is>
      </c>
      <c r="M53" s="3" t="inlineStr">
        <is>
          <t>Expected prefix: pep, Actual: pe-kv-prod</t>
        </is>
      </c>
      <c r="N53" s="3" t="inlineStr">
        <is>
          <t/>
        </is>
      </c>
      <c r="O53" s="3" t="inlineStr">
        <is>
          <t/>
        </is>
      </c>
      <c r="P53" s="3" t="inlineStr">
        <is>
          <t/>
        </is>
      </c>
      <c r="Q53" s="3" t="inlineStr">
        <is>
          <t/>
        </is>
      </c>
      <c r="R53" s="3" t="str">
        <f>HYPERLINK("https://learn.microsoft.com/en-us/azure/cloud-adoption-framework/ready/azure-best-practices/resource-abbreviations","https://learn.microsoft.com/en-us/azure/cloud-adoption-framework/ready/azure-best-practices/resource-abbreviations")</f>
      </c>
    </row>
    <row r="54" s="2" customFormat="1">
      <c r="A54" s="2" t="inlineStr">
        <is>
          <t>Azure Resource Graph</t>
        </is>
      </c>
      <c r="B54" s="2" t="inlineStr">
        <is>
          <t>AZQR</t>
        </is>
      </c>
      <c r="C54" s="2" t="inlineStr">
        <is>
          <t>Governance</t>
        </is>
      </c>
      <c r="D54" s="2" t="inlineStr">
        <is>
          <t>Low</t>
        </is>
      </c>
      <c r="E54" s="2" t="inlineStr">
        <is>
          <t>Microsoft.Network/privateEndpoints</t>
        </is>
      </c>
      <c r="F54" s="2" t="inlineStr">
        <is>
          <t>Resource should comply with naming conventions</t>
        </is>
      </c>
      <c r="G54" s="2" t="inlineStr">
        <is>
          <t>resources-002</t>
        </is>
      </c>
      <c r="H54" s="2" t="inlineStr">
        <is>
          <t>xxxxxxxx-xxxx-xxxx-xxxx-xxxxxc661a03</t>
        </is>
      </c>
      <c r="I54" s="2" t="inlineStr">
        <is>
          <t>dt-prd-tpa-oeqrq2jxadm36</t>
        </is>
      </c>
      <c r="J54" s="2" t="inlineStr">
        <is>
          <t>rg-spoke-tpa-prd-imkltpplo5qyg</t>
        </is>
      </c>
      <c r="K54" s="2" t="inlineStr">
        <is>
          <t>pe-sql-prod</t>
        </is>
      </c>
      <c r="L54" s="2" t="inlineStr">
        <is>
          <t>/subscriptions/xxxxxxxx-xxxx-xxxx-xxxx-xxxxxc661a03/resourceGroups/rg-spoke-tpa-prd-imkltpplo5qyg/providers/Microsoft.Network/privateEndpoints/pe-sql-prod</t>
        </is>
      </c>
      <c r="M54" s="2" t="inlineStr">
        <is>
          <t>Expected prefix: pep, Actual: pe-sql-prod</t>
        </is>
      </c>
      <c r="N54" s="2" t="inlineStr">
        <is>
          <t/>
        </is>
      </c>
      <c r="O54" s="2" t="inlineStr">
        <is>
          <t/>
        </is>
      </c>
      <c r="P54" s="2" t="inlineStr">
        <is>
          <t/>
        </is>
      </c>
      <c r="Q54" s="2" t="inlineStr">
        <is>
          <t/>
        </is>
      </c>
      <c r="R54" s="2" t="str">
        <f>HYPERLINK("https://learn.microsoft.com/en-us/azure/cloud-adoption-framework/ready/azure-best-practices/resource-abbreviations","https://learn.microsoft.com/en-us/azure/cloud-adoption-framework/ready/azure-best-practices/resource-abbreviations")</f>
      </c>
    </row>
    <row r="55" s="3" customFormat="1">
      <c r="A55" s="3" t="inlineStr">
        <is>
          <t>Azure Resource Graph</t>
        </is>
      </c>
      <c r="B55" s="3" t="inlineStr">
        <is>
          <t>AZQR</t>
        </is>
      </c>
      <c r="C55" s="3" t="inlineStr">
        <is>
          <t>Governance</t>
        </is>
      </c>
      <c r="D55" s="3" t="inlineStr">
        <is>
          <t>Low</t>
        </is>
      </c>
      <c r="E55" s="3" t="inlineStr">
        <is>
          <t>Microsoft.Network/privateEndpoints</t>
        </is>
      </c>
      <c r="F55" s="3" t="inlineStr">
        <is>
          <t>Resource should comply with naming conventions</t>
        </is>
      </c>
      <c r="G55" s="3" t="inlineStr">
        <is>
          <t>resources-002</t>
        </is>
      </c>
      <c r="H55" s="3" t="inlineStr">
        <is>
          <t>xxxxxxxx-xxxx-xxxx-xxxx-xxxxxc661a03</t>
        </is>
      </c>
      <c r="I55" s="3" t="inlineStr">
        <is>
          <t>dt-prd-tpa-oeqrq2jxadm36</t>
        </is>
      </c>
      <c r="J55" s="3" t="inlineStr">
        <is>
          <t>rg-spoke-tpa-prd-imkltpplo5qyg</t>
        </is>
      </c>
      <c r="K55" s="3" t="inlineStr">
        <is>
          <t>pe-storage-prod</t>
        </is>
      </c>
      <c r="L55" s="3" t="inlineStr">
        <is>
          <t>/subscriptions/xxxxxxxx-xxxx-xxxx-xxxx-xxxxxc661a03/resourceGroups/rg-spoke-tpa-prd-imkltpplo5qyg/providers/Microsoft.Network/privateEndpoints/pe-storage-prod</t>
        </is>
      </c>
      <c r="M55" s="3" t="inlineStr">
        <is>
          <t>Expected prefix: pep, Actual: pe-storage-prod</t>
        </is>
      </c>
      <c r="N55" s="3" t="inlineStr">
        <is>
          <t/>
        </is>
      </c>
      <c r="O55" s="3" t="inlineStr">
        <is>
          <t/>
        </is>
      </c>
      <c r="P55" s="3" t="inlineStr">
        <is>
          <t/>
        </is>
      </c>
      <c r="Q55" s="3" t="inlineStr">
        <is>
          <t/>
        </is>
      </c>
      <c r="R55" s="3" t="str">
        <f>HYPERLINK("https://learn.microsoft.com/en-us/azure/cloud-adoption-framework/ready/azure-best-practices/resource-abbreviations","https://learn.microsoft.com/en-us/azure/cloud-adoption-framework/ready/azure-best-practices/resource-abbreviations")</f>
      </c>
    </row>
    <row r="56" s="2" customFormat="1">
      <c r="A56" s="2" t="inlineStr">
        <is>
          <t>Azure Resource Graph</t>
        </is>
      </c>
      <c r="B56" s="2" t="inlineStr">
        <is>
          <t>AZQR</t>
        </is>
      </c>
      <c r="C56" s="2" t="inlineStr">
        <is>
          <t>Governance</t>
        </is>
      </c>
      <c r="D56" s="2" t="inlineStr">
        <is>
          <t>Low</t>
        </is>
      </c>
      <c r="E56" s="2" t="inlineStr">
        <is>
          <t>Microsoft.Sql/servers</t>
        </is>
      </c>
      <c r="F56" s="2" t="inlineStr">
        <is>
          <t>Resource should comply with naming conventions</t>
        </is>
      </c>
      <c r="G56" s="2" t="inlineStr">
        <is>
          <t>resources-002</t>
        </is>
      </c>
      <c r="H56" s="2" t="inlineStr">
        <is>
          <t>xxxxxxxx-xxxx-xxxx-xxxx-xxxxxc661a03</t>
        </is>
      </c>
      <c r="I56" s="2" t="inlineStr">
        <is>
          <t>dt-prd-tpa-oeqrq2jxadm36</t>
        </is>
      </c>
      <c r="J56" s="2" t="inlineStr">
        <is>
          <t>rg-spoke-tpa-prd-imkltpplo5qyg</t>
        </is>
      </c>
      <c r="K56" s="2" t="inlineStr">
        <is>
          <t>db-config</t>
        </is>
      </c>
      <c r="L56" s="2" t="inlineStr">
        <is>
          <t>/subscriptions/xxxxxxxx-xxxx-xxxx-xxxx-xxxxxc661a03/resourceGroups/rg-spoke-tpa-prd-imkltpplo5qyg/providers/Microsoft.Sql/servers/sql-prod-fwubq55usdsyk/databases/db-config</t>
        </is>
      </c>
      <c r="M56" s="2" t="inlineStr">
        <is>
          <t>Expected prefix: sqldb, Actual: db-config</t>
        </is>
      </c>
      <c r="N56" s="2" t="inlineStr">
        <is>
          <t/>
        </is>
      </c>
      <c r="O56" s="2" t="inlineStr">
        <is>
          <t/>
        </is>
      </c>
      <c r="P56" s="2" t="inlineStr">
        <is>
          <t/>
        </is>
      </c>
      <c r="Q56" s="2" t="inlineStr">
        <is>
          <t/>
        </is>
      </c>
      <c r="R56" s="2" t="str">
        <f>HYPERLINK("https://learn.microsoft.com/en-us/azure/cloud-adoption-framework/ready/azure-best-practices/resource-abbreviations","https://learn.microsoft.com/en-us/azure/cloud-adoption-framework/ready/azure-best-practices/resource-abbreviations")</f>
      </c>
    </row>
    <row r="57" s="3" customFormat="1">
      <c r="A57" s="3" t="inlineStr">
        <is>
          <t>Azure Resource Graph</t>
        </is>
      </c>
      <c r="B57" s="3" t="inlineStr">
        <is>
          <t>AZQR</t>
        </is>
      </c>
      <c r="C57" s="3" t="inlineStr">
        <is>
          <t>Governance</t>
        </is>
      </c>
      <c r="D57" s="3" t="inlineStr">
        <is>
          <t>Low</t>
        </is>
      </c>
      <c r="E57" s="3" t="inlineStr">
        <is>
          <t>Microsoft.Sql/servers</t>
        </is>
      </c>
      <c r="F57" s="3" t="inlineStr">
        <is>
          <t>Resource should comply with naming conventions</t>
        </is>
      </c>
      <c r="G57" s="3" t="inlineStr">
        <is>
          <t>resources-002</t>
        </is>
      </c>
      <c r="H57" s="3" t="inlineStr">
        <is>
          <t>xxxxxxxx-xxxx-xxxx-xxxx-xxxxxc661a03</t>
        </is>
      </c>
      <c r="I57" s="3" t="inlineStr">
        <is>
          <t>dt-prd-tpa-oeqrq2jxadm36</t>
        </is>
      </c>
      <c r="J57" s="3" t="inlineStr">
        <is>
          <t>rg-spoke-tpa-prd-imkltpplo5qyg</t>
        </is>
      </c>
      <c r="K57" s="3" t="inlineStr">
        <is>
          <t>master</t>
        </is>
      </c>
      <c r="L57" s="3" t="inlineStr">
        <is>
          <t>/subscriptions/xxxxxxxx-xxxx-xxxx-xxxx-xxxxxc661a03/resourceGroups/rg-spoke-tpa-prd-imkltpplo5qyg/providers/Microsoft.Sql/servers/sql-prod-fwubq55usdsyk/databases/master</t>
        </is>
      </c>
      <c r="M57" s="3" t="inlineStr">
        <is>
          <t>Expected prefix: sqldb, Actual: master</t>
        </is>
      </c>
      <c r="N57" s="3" t="inlineStr">
        <is>
          <t/>
        </is>
      </c>
      <c r="O57" s="3" t="inlineStr">
        <is>
          <t/>
        </is>
      </c>
      <c r="P57" s="3" t="inlineStr">
        <is>
          <t/>
        </is>
      </c>
      <c r="Q57" s="3" t="inlineStr">
        <is>
          <t/>
        </is>
      </c>
      <c r="R57" s="3" t="str">
        <f>HYPERLINK("https://learn.microsoft.com/en-us/azure/cloud-adoption-framework/ready/azure-best-practices/resource-abbreviations","https://learn.microsoft.com/en-us/azure/cloud-adoption-framework/ready/azure-best-practices/resource-abbreviations")</f>
      </c>
    </row>
    <row r="58" s="2" customFormat="1">
      <c r="A58" s="2" t="inlineStr">
        <is>
          <t>Azure Resource Graph</t>
        </is>
      </c>
      <c r="B58" s="2" t="inlineStr">
        <is>
          <t>AZQR</t>
        </is>
      </c>
      <c r="C58" s="2" t="inlineStr">
        <is>
          <t>MonitoringAndAlerting</t>
        </is>
      </c>
      <c r="D58" s="2" t="inlineStr">
        <is>
          <t>Low</t>
        </is>
      </c>
      <c r="E58" s="2" t="inlineStr">
        <is>
          <t>microsoft.appconfiguration/configurationstores</t>
        </is>
      </c>
      <c r="F58" s="2" t="inlineStr">
        <is>
          <t>AppConfiguration should have diagnostic settings enabled</t>
        </is>
      </c>
      <c r="G58" s="2" t="inlineStr">
        <is>
          <t>appcs-001</t>
        </is>
      </c>
      <c r="H58" s="2" t="inlineStr">
        <is>
          <t>xxxxxxxx-xxxx-xxxx-xxxx-xxxxxc661a03</t>
        </is>
      </c>
      <c r="I58" s="2" t="inlineStr">
        <is>
          <t/>
        </is>
      </c>
      <c r="J58" s="2" t="inlineStr">
        <is>
          <t>rg-spoke-tpa-prd-imkltpplo5qyg</t>
        </is>
      </c>
      <c r="K58" s="2" t="inlineStr">
        <is>
          <t>appcs-prod-3dv5vnwo5uxsi</t>
        </is>
      </c>
      <c r="L58" s="2" t="inlineStr">
        <is>
          <t>/subscriptions/xxxxxxxx-xxxx-xxxx-xxxx-xxxxxc661a03/resourceGroups/rg-spoke-tpa-prd-imkltpplo5qyg/providers/Microsoft.AppConfiguration/configurationStores/appcs-prod-3dv5vnwo5uxsi</t>
        </is>
      </c>
      <c r="M58" s="2" t="inlineStr">
        <is>
          <t/>
        </is>
      </c>
      <c r="N58" s="2" t="inlineStr">
        <is>
          <t/>
        </is>
      </c>
      <c r="O58" s="2" t="inlineStr">
        <is>
          <t/>
        </is>
      </c>
      <c r="P58" s="2" t="inlineStr">
        <is>
          <t/>
        </is>
      </c>
      <c r="Q58" s="2" t="inlineStr">
        <is>
          <t/>
        </is>
      </c>
      <c r="R58" s="2" t="str">
        <f>HYPERLINK("https://learn.microsoft.com/en-us/azure/azure-app-configuration/monitor-app-configuration?tabs=portal","https://learn.microsoft.com/en-us/azure/azure-app-configuration/monitor-app-configuration?tabs=portal")</f>
      </c>
    </row>
    <row r="59" s="3" customFormat="1">
      <c r="A59" s="3" t="inlineStr">
        <is>
          <t>Azure Resource Graph</t>
        </is>
      </c>
      <c r="B59" s="3" t="inlineStr">
        <is>
          <t>AZQR</t>
        </is>
      </c>
      <c r="C59" s="3" t="inlineStr">
        <is>
          <t>MonitoringAndAlerting</t>
        </is>
      </c>
      <c r="D59" s="3" t="inlineStr">
        <is>
          <t>Low</t>
        </is>
      </c>
      <c r="E59" s="3" t="inlineStr">
        <is>
          <t>microsoft.cdn/profiles</t>
        </is>
      </c>
      <c r="F59" s="3" t="inlineStr">
        <is>
          <t>Azure FrontDoor should have diagnostic settings enabled</t>
        </is>
      </c>
      <c r="G59" s="3" t="inlineStr">
        <is>
          <t>afd-001</t>
        </is>
      </c>
      <c r="H59" s="3" t="inlineStr">
        <is>
          <t>xxxxxxxx-xxxx-xxxx-xxxx-xxxxxc661a03</t>
        </is>
      </c>
      <c r="I59" s="3" t="inlineStr">
        <is>
          <t/>
        </is>
      </c>
      <c r="J59" s="3" t="inlineStr">
        <is>
          <t>rg-spoke-tpa-prd-imkltpplo5qyg</t>
        </is>
      </c>
      <c r="K59" s="3" t="inlineStr">
        <is>
          <t>az-fd-prod</t>
        </is>
      </c>
      <c r="L59" s="3" t="inlineStr">
        <is>
          <t>/subscriptions/xxxxxxxx-xxxx-xxxx-xxxx-xxxxxc661a03/resourceGroups/rg-spoke-tpa-prd-imkltpplo5qyg/providers/Microsoft.Cdn/profiles/az-fd-prod</t>
        </is>
      </c>
      <c r="M59" s="3" t="inlineStr">
        <is>
          <t/>
        </is>
      </c>
      <c r="N59" s="3" t="inlineStr">
        <is>
          <t/>
        </is>
      </c>
      <c r="O59" s="3" t="inlineStr">
        <is>
          <t/>
        </is>
      </c>
      <c r="P59" s="3" t="inlineStr">
        <is>
          <t/>
        </is>
      </c>
      <c r="Q59" s="3" t="inlineStr">
        <is>
          <t/>
        </is>
      </c>
      <c r="R59" s="3" t="str">
        <f>HYPERLINK("https://learn.microsoft.com/en-us/azure/frontdoor/standard-premium/how-to-logs","https://learn.microsoft.com/en-us/azure/frontdoor/standard-premium/how-to-logs")</f>
      </c>
    </row>
  </sheetData>
  <autoFilter ref="$A$4:$R$59"/>
  <drawing xmlns:relationships="http://schemas.openxmlformats.org/officeDocument/2006/relationships" relationships:id="rId1"/>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3" max="3" width="22" customWidth="1"/>
    <col min="2" max="2" width="60" customWidth="1"/>
    <col min="1" max="1" width="27" customWidth="1"/>
  </cols>
  <sheetData>
    <row r="4" s="1" customFormat="1">
      <c r="A4" s="1" t="inlineStr">
        <is>
          <t>Subscription Name</t>
        </is>
      </c>
      <c r="B4" s="1" t="inlineStr">
        <is>
          <t>Resource Type</t>
        </is>
      </c>
      <c r="C4" s="1" t="inlineStr">
        <is>
          <t>Number of Resources</t>
        </is>
      </c>
    </row>
    <row r="5" s="3" customFormat="1">
      <c r="A5" s="3" t="inlineStr">
        <is>
          <t>dt-prd-tpa-oeqrq2jxadm36</t>
        </is>
      </c>
      <c r="B5" s="3" t="inlineStr">
        <is>
          <t>microsoft.web/sites</t>
        </is>
      </c>
      <c r="C5" s="3" t="inlineStr">
        <is>
          <t>2</t>
        </is>
      </c>
    </row>
    <row r="6" s="2" customFormat="1">
      <c r="A6" s="2" t="inlineStr">
        <is>
          <t>dt-prd-tpa-oeqrq2jxadm36</t>
        </is>
      </c>
      <c r="B6" s="2" t="inlineStr">
        <is>
          <t>microsoft.web/serverfarms</t>
        </is>
      </c>
      <c r="C6" s="2" t="inlineStr">
        <is>
          <t>1</t>
        </is>
      </c>
    </row>
    <row r="7" s="3" customFormat="1">
      <c r="A7" s="3" t="inlineStr">
        <is>
          <t>dt-prd-tpa-oeqrq2jxadm36</t>
        </is>
      </c>
      <c r="B7" s="3" t="inlineStr">
        <is>
          <t>microsoft.storage/storageaccounts</t>
        </is>
      </c>
      <c r="C7" s="3" t="inlineStr">
        <is>
          <t>1</t>
        </is>
      </c>
    </row>
    <row r="8" s="2" customFormat="1">
      <c r="A8" s="2" t="inlineStr">
        <is>
          <t>dt-prd-tpa-oeqrq2jxadm36</t>
        </is>
      </c>
      <c r="B8" s="2" t="inlineStr">
        <is>
          <t>microsoft.sql/servers/databases</t>
        </is>
      </c>
      <c r="C8" s="2" t="inlineStr">
        <is>
          <t>2</t>
        </is>
      </c>
    </row>
    <row r="9" s="3" customFormat="1">
      <c r="A9" s="3" t="inlineStr">
        <is>
          <t>dt-prd-tpa-oeqrq2jxadm36</t>
        </is>
      </c>
      <c r="B9" s="3" t="inlineStr">
        <is>
          <t>microsoft.sql/servers</t>
        </is>
      </c>
      <c r="C9" s="3" t="inlineStr">
        <is>
          <t>1</t>
        </is>
      </c>
    </row>
    <row r="10" s="2" customFormat="1">
      <c r="A10" s="2" t="inlineStr">
        <is>
          <t>dt-prd-tpa-oeqrq2jxadm36</t>
        </is>
      </c>
      <c r="B10" s="2" t="inlineStr">
        <is>
          <t>microsoft.operationalinsights/workspaces</t>
        </is>
      </c>
      <c r="C10" s="2" t="inlineStr">
        <is>
          <t>1</t>
        </is>
      </c>
    </row>
    <row r="11" s="3" customFormat="1">
      <c r="A11" s="3" t="inlineStr">
        <is>
          <t>dt-prd-tpa-oeqrq2jxadm36</t>
        </is>
      </c>
      <c r="B11" s="3" t="inlineStr">
        <is>
          <t>microsoft.network/virtualnetworks</t>
        </is>
      </c>
      <c r="C11" s="3" t="inlineStr">
        <is>
          <t>1</t>
        </is>
      </c>
    </row>
    <row r="12" s="2" customFormat="1">
      <c r="A12" s="2" t="inlineStr">
        <is>
          <t>dt-prd-tpa-oeqrq2jxadm36</t>
        </is>
      </c>
      <c r="B12" s="2" t="inlineStr">
        <is>
          <t>microsoft.network/privateendpoints</t>
        </is>
      </c>
      <c r="C12" s="2" t="inlineStr">
        <is>
          <t>4</t>
        </is>
      </c>
    </row>
    <row r="13" s="3" customFormat="1">
      <c r="A13" s="3" t="inlineStr">
        <is>
          <t>dt-prd-tpa-oeqrq2jxadm36</t>
        </is>
      </c>
      <c r="B13" s="3" t="inlineStr">
        <is>
          <t>microsoft.network/networkwatchers</t>
        </is>
      </c>
      <c r="C13" s="3" t="inlineStr">
        <is>
          <t>1</t>
        </is>
      </c>
    </row>
    <row r="14" s="2" customFormat="1">
      <c r="A14" s="2" t="inlineStr">
        <is>
          <t>dt-prd-tpa-oeqrq2jxadm36</t>
        </is>
      </c>
      <c r="B14" s="2" t="inlineStr">
        <is>
          <t>microsoft.network/networksecuritygroups</t>
        </is>
      </c>
      <c r="C14" s="2" t="inlineStr">
        <is>
          <t>1</t>
        </is>
      </c>
    </row>
    <row r="15" s="3" customFormat="1">
      <c r="A15" s="3" t="inlineStr">
        <is>
          <t>dt-prd-tpa-oeqrq2jxadm36</t>
        </is>
      </c>
      <c r="B15" s="3" t="inlineStr">
        <is>
          <t>microsoft.network/networkinterfaces</t>
        </is>
      </c>
      <c r="C15" s="3" t="inlineStr">
        <is>
          <t>4</t>
        </is>
      </c>
    </row>
    <row r="16" s="2" customFormat="1">
      <c r="A16" s="2" t="inlineStr">
        <is>
          <t>dt-prd-tpa-oeqrq2jxadm36</t>
        </is>
      </c>
      <c r="B16" s="2" t="inlineStr">
        <is>
          <t>microsoft.network/frontdoorwebapplicationfirewallpolicies</t>
        </is>
      </c>
      <c r="C16" s="2" t="inlineStr">
        <is>
          <t>1</t>
        </is>
      </c>
    </row>
    <row r="17" s="3" customFormat="1">
      <c r="A17" s="3" t="inlineStr">
        <is>
          <t>dt-prd-tpa-oeqrq2jxadm36</t>
        </is>
      </c>
      <c r="B17" s="3" t="inlineStr">
        <is>
          <t>microsoft.keyvault/vaults</t>
        </is>
      </c>
      <c r="C17" s="3" t="inlineStr">
        <is>
          <t>1</t>
        </is>
      </c>
    </row>
    <row r="18" s="2" customFormat="1">
      <c r="A18" s="2" t="inlineStr">
        <is>
          <t>dt-prd-tpa-oeqrq2jxadm36</t>
        </is>
      </c>
      <c r="B18" s="2" t="inlineStr">
        <is>
          <t>microsoft.insights/components</t>
        </is>
      </c>
      <c r="C18" s="2" t="inlineStr">
        <is>
          <t>1</t>
        </is>
      </c>
    </row>
    <row r="19" s="3" customFormat="1">
      <c r="A19" s="3" t="inlineStr">
        <is>
          <t>dt-prd-tpa-oeqrq2jxadm36</t>
        </is>
      </c>
      <c r="B19" s="3" t="inlineStr">
        <is>
          <t>microsoft.cdn/profiles</t>
        </is>
      </c>
      <c r="C19" s="3" t="inlineStr">
        <is>
          <t>1</t>
        </is>
      </c>
    </row>
    <row r="20" s="2" customFormat="1">
      <c r="A20" s="2" t="inlineStr">
        <is>
          <t>dt-prd-tpa-oeqrq2jxadm36</t>
        </is>
      </c>
      <c r="B20" s="2" t="inlineStr">
        <is>
          <t>microsoft.appconfiguration/configurationstores</t>
        </is>
      </c>
      <c r="C20" s="2" t="inlineStr">
        <is>
          <t>1</t>
        </is>
      </c>
    </row>
  </sheetData>
  <autoFilter ref="$A$4:$C$20"/>
  <drawing xmlns:relationships="http://schemas.openxmlformats.org/officeDocument/2006/relationships" relationships:id="rId1"/>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1" max="11" width="120" customWidth="1"/>
    <col min="10" max="10" width="28" customWidth="1"/>
    <col min="9" max="9" width="26" customWidth="1"/>
    <col min="8" max="8" width="11" customWidth="1"/>
    <col min="7" max="7" width="12" customWidth="1"/>
    <col min="6" max="6" width="26" customWidth="1"/>
    <col min="5" max="5" width="61" customWidth="1"/>
    <col min="4" max="4" width="60" customWidth="1"/>
    <col min="3" max="3" width="17" customWidth="1"/>
    <col min="2" max="2" width="33" customWidth="1"/>
    <col min="1" max="1" width="39" customWidth="1"/>
  </cols>
  <sheetData>
    <row r="4" s="1" customFormat="1">
      <c r="A4" s="1" t="inlineStr">
        <is>
          <t>Subscription Id</t>
        </is>
      </c>
      <c r="B4" s="1" t="inlineStr">
        <is>
          <t>Resource Group</t>
        </is>
      </c>
      <c r="C4" s="1" t="inlineStr">
        <is>
          <t>Location</t>
        </is>
      </c>
      <c r="D4" s="1" t="inlineStr">
        <is>
          <t>Resource Type</t>
        </is>
      </c>
      <c r="E4" s="1" t="inlineStr">
        <is>
          <t>Resource Name</t>
        </is>
      </c>
      <c r="F4" s="1" t="inlineStr">
        <is>
          <t>Sku Name</t>
        </is>
      </c>
      <c r="G4" s="1" t="inlineStr">
        <is>
          <t>Sku Tier</t>
        </is>
      </c>
      <c r="H4" s="1" t="inlineStr">
        <is>
          <t>Capacity</t>
        </is>
      </c>
      <c r="I4" s="1" t="inlineStr">
        <is>
          <t>Kind</t>
        </is>
      </c>
      <c r="J4" s="1" t="inlineStr">
        <is>
          <t>SLA</t>
        </is>
      </c>
      <c r="K4" s="1" t="inlineStr">
        <is>
          <t>Resource Id</t>
        </is>
      </c>
    </row>
    <row r="5" s="3" customFormat="1">
      <c r="A5" s="3" t="inlineStr">
        <is>
          <t>xxxxxxxx-xxxx-xxxx-xxxx-xxxxxc661a03</t>
        </is>
      </c>
      <c r="B5" s="3" t="inlineStr">
        <is>
          <t>rg-spoke-tpa-prd-imkltpplo5qyg</t>
        </is>
      </c>
      <c r="C5" s="3" t="inlineStr">
        <is>
          <t>northcentralus</t>
        </is>
      </c>
      <c r="D5" s="3" t="inlineStr">
        <is>
          <t>microsoft.appconfiguration/configurationstores</t>
        </is>
      </c>
      <c r="E5" s="3" t="inlineStr">
        <is>
          <t>appcs-prod-3dv5vnwo5uxsi</t>
        </is>
      </c>
      <c r="F5" s="3" t="inlineStr">
        <is>
          <t>standard</t>
        </is>
      </c>
      <c r="G5" s="3" t="inlineStr">
        <is>
          <t/>
        </is>
      </c>
      <c r="H5" s="3" t="inlineStr">
        <is>
          <t/>
        </is>
      </c>
      <c r="I5" s="3" t="inlineStr">
        <is>
          <t/>
        </is>
      </c>
      <c r="J5" s="3" t="inlineStr">
        <is>
          <t>99.9% (SKU: standard)</t>
        </is>
      </c>
      <c r="K5" s="3" t="inlineStr">
        <is>
          <t>/subscriptions/xxxxxxxx-xxxx-xxxx-xxxx-xxxxxc661a03/resourceGroups/rg-spoke-tpa-prd-imkltpplo5qyg/providers/Microsoft.AppConfiguration/configurationStores/appcs-prod-3dv5vnwo5uxsi</t>
        </is>
      </c>
    </row>
    <row r="6" s="2" customFormat="1">
      <c r="A6" s="2" t="inlineStr">
        <is>
          <t>xxxxxxxx-xxxx-xxxx-xxxx-xxxxxc661a03</t>
        </is>
      </c>
      <c r="B6" s="2" t="inlineStr">
        <is>
          <t>rg-spoke-tpa-prd-imkltpplo5qyg</t>
        </is>
      </c>
      <c r="C6" s="2" t="inlineStr">
        <is>
          <t>global</t>
        </is>
      </c>
      <c r="D6" s="2" t="inlineStr">
        <is>
          <t>microsoft.cdn/profiles</t>
        </is>
      </c>
      <c r="E6" s="2" t="inlineStr">
        <is>
          <t>az-fd-prod</t>
        </is>
      </c>
      <c r="F6" s="2" t="inlineStr">
        <is>
          <t>Standard_AzureFrontDoor</t>
        </is>
      </c>
      <c r="G6" s="2" t="inlineStr">
        <is>
          <t/>
        </is>
      </c>
      <c r="H6" s="2" t="inlineStr">
        <is>
          <t/>
        </is>
      </c>
      <c r="I6" s="2" t="inlineStr">
        <is>
          <t>frontdoor</t>
        </is>
      </c>
      <c r="J6" s="2" t="inlineStr">
        <is>
          <t>99.99%</t>
        </is>
      </c>
      <c r="K6" s="2" t="inlineStr">
        <is>
          <t>/subscriptions/xxxxxxxx-xxxx-xxxx-xxxx-xxxxxc661a03/resourceGroups/rg-spoke-tpa-prd-imkltpplo5qyg/providers/Microsoft.Cdn/profiles/az-fd-prod</t>
        </is>
      </c>
    </row>
    <row r="7" s="3" customFormat="1">
      <c r="A7" s="3" t="inlineStr">
        <is>
          <t>xxxxxxxx-xxxx-xxxx-xxxx-xxxxxc661a03</t>
        </is>
      </c>
      <c r="B7" s="3" t="inlineStr">
        <is>
          <t>rg-spoke-tpa-prd-imkltpplo5qyg</t>
        </is>
      </c>
      <c r="C7" s="3" t="inlineStr">
        <is>
          <t>global</t>
        </is>
      </c>
      <c r="D7" s="3" t="inlineStr">
        <is>
          <t>microsoft.cdn/profiles/afdendpoints</t>
        </is>
      </c>
      <c r="E7" s="3" t="inlineStr">
        <is>
          <t>az-ep-prod</t>
        </is>
      </c>
      <c r="F7" s="3" t="inlineStr">
        <is>
          <t/>
        </is>
      </c>
      <c r="G7" s="3" t="inlineStr">
        <is>
          <t/>
        </is>
      </c>
      <c r="H7" s="3" t="inlineStr">
        <is>
          <t/>
        </is>
      </c>
      <c r="I7" s="3" t="inlineStr">
        <is>
          <t/>
        </is>
      </c>
      <c r="J7" s="3" t="inlineStr">
        <is>
          <t/>
        </is>
      </c>
      <c r="K7" s="3" t="inlineStr">
        <is>
          <t>/subscriptions/xxxxxxxx-xxxx-xxxx-xxxx-xxxxxc661a03/resourceGroups/rg-spoke-tpa-prd-imkltpplo5qyg/providers/Microsoft.Cdn/profiles/az-fd-prod/afdendpoints/az-ep-prod</t>
        </is>
      </c>
    </row>
    <row r="8" s="2" customFormat="1">
      <c r="A8" s="2" t="inlineStr">
        <is>
          <t>xxxxxxxx-xxxx-xxxx-xxxx-xxxxxc661a03</t>
        </is>
      </c>
      <c r="B8" s="2" t="inlineStr">
        <is>
          <t>rg-spoke-tpa-prd-imkltpplo5qyg</t>
        </is>
      </c>
      <c r="C8" s="2" t="inlineStr">
        <is>
          <t>northcentralus</t>
        </is>
      </c>
      <c r="D8" s="2" t="inlineStr">
        <is>
          <t>microsoft.insights/components</t>
        </is>
      </c>
      <c r="E8" s="2" t="inlineStr">
        <is>
          <t>ai-prod</t>
        </is>
      </c>
      <c r="F8" s="2" t="inlineStr">
        <is>
          <t/>
        </is>
      </c>
      <c r="G8" s="2" t="inlineStr">
        <is>
          <t/>
        </is>
      </c>
      <c r="H8" s="2" t="inlineStr">
        <is>
          <t/>
        </is>
      </c>
      <c r="I8" s="2" t="inlineStr">
        <is>
          <t>web</t>
        </is>
      </c>
      <c r="J8" s="2" t="inlineStr">
        <is>
          <t>99.9%</t>
        </is>
      </c>
      <c r="K8" s="2" t="inlineStr">
        <is>
          <t>/subscriptions/xxxxxxxx-xxxx-xxxx-xxxx-xxxxxc661a03/resourceGroups/rg-spoke-tpa-prd-imkltpplo5qyg/providers/Microsoft.Insights/components/ai-prod</t>
        </is>
      </c>
    </row>
    <row r="9" s="3" customFormat="1">
      <c r="A9" s="3" t="inlineStr">
        <is>
          <t>xxxxxxxx-xxxx-xxxx-xxxx-xxxxxc661a03</t>
        </is>
      </c>
      <c r="B9" s="3" t="inlineStr">
        <is>
          <t>rg-spoke-tpa-prd-imkltpplo5qyg</t>
        </is>
      </c>
      <c r="C9" s="3" t="inlineStr">
        <is>
          <t>northcentralus</t>
        </is>
      </c>
      <c r="D9" s="3" t="inlineStr">
        <is>
          <t>microsoft.keyvault/vaults</t>
        </is>
      </c>
      <c r="E9" s="3" t="inlineStr">
        <is>
          <t>kv-tpa-prod-ncus</t>
        </is>
      </c>
      <c r="F9" s="3" t="inlineStr">
        <is>
          <t>standard</t>
        </is>
      </c>
      <c r="G9" s="3" t="inlineStr">
        <is>
          <t/>
        </is>
      </c>
      <c r="H9" s="3" t="inlineStr">
        <is>
          <t/>
        </is>
      </c>
      <c r="I9" s="3" t="inlineStr">
        <is>
          <t/>
        </is>
      </c>
      <c r="J9" s="3" t="inlineStr">
        <is>
          <t>99.99%</t>
        </is>
      </c>
      <c r="K9" s="3" t="inlineStr">
        <is>
          <t>/subscriptions/xxxxxxxx-xxxx-xxxx-xxxx-xxxxxc661a03/resourceGroups/rg-spoke-tpa-prd-imkltpplo5qyg/providers/Microsoft.KeyVault/vaults/kv-tpa-prod-ncus</t>
        </is>
      </c>
    </row>
    <row r="10" s="2" customFormat="1">
      <c r="A10" s="2" t="inlineStr">
        <is>
          <t>xxxxxxxx-xxxx-xxxx-xxxx-xxxxxc661a03</t>
        </is>
      </c>
      <c r="B10" s="2" t="inlineStr">
        <is>
          <t>rg-spoke-tpa-prd-imkltpplo5qyg</t>
        </is>
      </c>
      <c r="C10" s="2" t="inlineStr">
        <is>
          <t>global</t>
        </is>
      </c>
      <c r="D10" s="2" t="inlineStr">
        <is>
          <t>microsoft.network/frontdoorwebapplicationfirewallpolicies</t>
        </is>
      </c>
      <c r="E10" s="2" t="inlineStr">
        <is>
          <t>wafprod</t>
        </is>
      </c>
      <c r="F10" s="2" t="inlineStr">
        <is>
          <t>Standard_AzureFrontDoor</t>
        </is>
      </c>
      <c r="G10" s="2" t="inlineStr">
        <is>
          <t/>
        </is>
      </c>
      <c r="H10" s="2" t="inlineStr">
        <is>
          <t/>
        </is>
      </c>
      <c r="I10" s="2" t="inlineStr">
        <is>
          <t/>
        </is>
      </c>
      <c r="J10" s="2" t="inlineStr">
        <is>
          <t/>
        </is>
      </c>
      <c r="K10" s="2" t="inlineStr">
        <is>
          <t>/subscriptions/xxxxxxxx-xxxx-xxxx-xxxx-xxxxxc661a03/resourceGroups/rg-spoke-tpa-prd-imkltpplo5qyg/providers/Microsoft.Network/frontdoorWebApplicationFirewallPolicies/wafprod</t>
        </is>
      </c>
    </row>
    <row r="11" s="3" customFormat="1">
      <c r="A11" s="3" t="inlineStr">
        <is>
          <t>xxxxxxxx-xxxx-xxxx-xxxx-xxxxxc661a03</t>
        </is>
      </c>
      <c r="B11" s="3" t="inlineStr">
        <is>
          <t>rg-spoke-tpa-prd-imkltpplo5qyg</t>
        </is>
      </c>
      <c r="C11" s="3" t="inlineStr">
        <is>
          <t>northcentralus</t>
        </is>
      </c>
      <c r="D11" s="3" t="inlineStr">
        <is>
          <t>microsoft.network/networkinterfaces</t>
        </is>
      </c>
      <c r="E11" s="3" t="inlineStr">
        <is>
          <t>pe-appconfig-prod.nic.57a5b2d6-75b9-4ff1-b6c8-42750147fcce</t>
        </is>
      </c>
      <c r="F11" s="3" t="inlineStr">
        <is>
          <t/>
        </is>
      </c>
      <c r="G11" s="3" t="inlineStr">
        <is>
          <t/>
        </is>
      </c>
      <c r="H11" s="3" t="inlineStr">
        <is>
          <t/>
        </is>
      </c>
      <c r="I11" s="3" t="inlineStr">
        <is>
          <t>Regular</t>
        </is>
      </c>
      <c r="J11" s="3" t="inlineStr">
        <is>
          <t/>
        </is>
      </c>
      <c r="K11" s="3" t="inlineStr">
        <is>
          <t>/subscriptions/xxxxxxxx-xxxx-xxxx-xxxx-xxxxxc661a03/resourceGroups/rg-spoke-tpa-prd-imkltpplo5qyg/providers/Microsoft.Network/networkInterfaces/pe-appconfig-prod.nic.57a5b2d6-75b9-4ff1-b6c8-42750147fcce</t>
        </is>
      </c>
    </row>
    <row r="12" s="2" customFormat="1">
      <c r="A12" s="2" t="inlineStr">
        <is>
          <t>xxxxxxxx-xxxx-xxxx-xxxx-xxxxxc661a03</t>
        </is>
      </c>
      <c r="B12" s="2" t="inlineStr">
        <is>
          <t>rg-spoke-tpa-prd-imkltpplo5qyg</t>
        </is>
      </c>
      <c r="C12" s="2" t="inlineStr">
        <is>
          <t>northcentralus</t>
        </is>
      </c>
      <c r="D12" s="2" t="inlineStr">
        <is>
          <t>microsoft.network/networkinterfaces</t>
        </is>
      </c>
      <c r="E12" s="2" t="inlineStr">
        <is>
          <t>pe-kv-prod.nic.602ac5e6-465b-4396-86d8-9cf8b8ce96a5</t>
        </is>
      </c>
      <c r="F12" s="2" t="inlineStr">
        <is>
          <t/>
        </is>
      </c>
      <c r="G12" s="2" t="inlineStr">
        <is>
          <t/>
        </is>
      </c>
      <c r="H12" s="2" t="inlineStr">
        <is>
          <t/>
        </is>
      </c>
      <c r="I12" s="2" t="inlineStr">
        <is>
          <t>Regular</t>
        </is>
      </c>
      <c r="J12" s="2" t="inlineStr">
        <is>
          <t/>
        </is>
      </c>
      <c r="K12" s="2" t="inlineStr">
        <is>
          <t>/subscriptions/xxxxxxxx-xxxx-xxxx-xxxx-xxxxxc661a03/resourceGroups/rg-spoke-tpa-prd-imkltpplo5qyg/providers/Microsoft.Network/networkInterfaces/pe-kv-prod.nic.602ac5e6-465b-4396-86d8-9cf8b8ce96a5</t>
        </is>
      </c>
    </row>
    <row r="13" s="3" customFormat="1">
      <c r="A13" s="3" t="inlineStr">
        <is>
          <t>xxxxxxxx-xxxx-xxxx-xxxx-xxxxxc661a03</t>
        </is>
      </c>
      <c r="B13" s="3" t="inlineStr">
        <is>
          <t>rg-spoke-tpa-prd-imkltpplo5qyg</t>
        </is>
      </c>
      <c r="C13" s="3" t="inlineStr">
        <is>
          <t>northcentralus</t>
        </is>
      </c>
      <c r="D13" s="3" t="inlineStr">
        <is>
          <t>microsoft.network/networkinterfaces</t>
        </is>
      </c>
      <c r="E13" s="3" t="inlineStr">
        <is>
          <t>pe-sql-prod.nic.28ca4fe4-8a01-47b4-bf90-07c1636d7a35</t>
        </is>
      </c>
      <c r="F13" s="3" t="inlineStr">
        <is>
          <t/>
        </is>
      </c>
      <c r="G13" s="3" t="inlineStr">
        <is>
          <t/>
        </is>
      </c>
      <c r="H13" s="3" t="inlineStr">
        <is>
          <t/>
        </is>
      </c>
      <c r="I13" s="3" t="inlineStr">
        <is>
          <t>Regular</t>
        </is>
      </c>
      <c r="J13" s="3" t="inlineStr">
        <is>
          <t/>
        </is>
      </c>
      <c r="K13" s="3" t="inlineStr">
        <is>
          <t>/subscriptions/xxxxxxxx-xxxx-xxxx-xxxx-xxxxxc661a03/resourceGroups/rg-spoke-tpa-prd-imkltpplo5qyg/providers/Microsoft.Network/networkInterfaces/pe-sql-prod.nic.28ca4fe4-8a01-47b4-bf90-07c1636d7a35</t>
        </is>
      </c>
    </row>
    <row r="14" s="2" customFormat="1">
      <c r="A14" s="2" t="inlineStr">
        <is>
          <t>xxxxxxxx-xxxx-xxxx-xxxx-xxxxxc661a03</t>
        </is>
      </c>
      <c r="B14" s="2" t="inlineStr">
        <is>
          <t>rg-spoke-tpa-prd-imkltpplo5qyg</t>
        </is>
      </c>
      <c r="C14" s="2" t="inlineStr">
        <is>
          <t>northcentralus</t>
        </is>
      </c>
      <c r="D14" s="2" t="inlineStr">
        <is>
          <t>microsoft.network/networkinterfaces</t>
        </is>
      </c>
      <c r="E14" s="2" t="inlineStr">
        <is>
          <t>pe-storage-prod.nic.25514168-aefe-47e6-93ca-5e89e90211a6</t>
        </is>
      </c>
      <c r="F14" s="2" t="inlineStr">
        <is>
          <t/>
        </is>
      </c>
      <c r="G14" s="2" t="inlineStr">
        <is>
          <t/>
        </is>
      </c>
      <c r="H14" s="2" t="inlineStr">
        <is>
          <t/>
        </is>
      </c>
      <c r="I14" s="2" t="inlineStr">
        <is>
          <t>Regular</t>
        </is>
      </c>
      <c r="J14" s="2" t="inlineStr">
        <is>
          <t/>
        </is>
      </c>
      <c r="K14" s="2" t="inlineStr">
        <is>
          <t>/subscriptions/xxxxxxxx-xxxx-xxxx-xxxx-xxxxxc661a03/resourceGroups/rg-spoke-tpa-prd-imkltpplo5qyg/providers/Microsoft.Network/networkInterfaces/pe-storage-prod.nic.25514168-aefe-47e6-93ca-5e89e90211a6</t>
        </is>
      </c>
    </row>
    <row r="15" s="3" customFormat="1">
      <c r="A15" s="3" t="inlineStr">
        <is>
          <t>xxxxxxxx-xxxx-xxxx-xxxx-xxxxxc661a03</t>
        </is>
      </c>
      <c r="B15" s="3" t="inlineStr">
        <is>
          <t>rg-spoke-tpa-prd-imkltpplo5qyg</t>
        </is>
      </c>
      <c r="C15" s="3" t="inlineStr">
        <is>
          <t>northcentralus</t>
        </is>
      </c>
      <c r="D15" s="3" t="inlineStr">
        <is>
          <t>microsoft.network/networksecuritygroups</t>
        </is>
      </c>
      <c r="E15" s="3" t="inlineStr">
        <is>
          <t>nsg-snet-tpa-prod-ncus</t>
        </is>
      </c>
      <c r="F15" s="3" t="inlineStr">
        <is>
          <t/>
        </is>
      </c>
      <c r="G15" s="3" t="inlineStr">
        <is>
          <t/>
        </is>
      </c>
      <c r="H15" s="3" t="inlineStr">
        <is>
          <t/>
        </is>
      </c>
      <c r="I15" s="3" t="inlineStr">
        <is>
          <t/>
        </is>
      </c>
      <c r="J15" s="3" t="inlineStr">
        <is>
          <t/>
        </is>
      </c>
      <c r="K15" s="3" t="inlineStr">
        <is>
          <t>/subscriptions/xxxxxxxx-xxxx-xxxx-xxxx-xxxxxc661a03/resourceGroups/rg-spoke-tpa-prd-imkltpplo5qyg/providers/Microsoft.Network/networkSecurityGroups/nsg-snet-tpa-prod-ncus</t>
        </is>
      </c>
    </row>
    <row r="16" s="2" customFormat="1">
      <c r="A16" s="2" t="inlineStr">
        <is>
          <t>xxxxxxxx-xxxx-xxxx-xxxx-xxxxxc661a03</t>
        </is>
      </c>
      <c r="B16" s="2" t="inlineStr">
        <is>
          <t>rg-spoke-tpa-prd-imkltpplo5qyg</t>
        </is>
      </c>
      <c r="C16" s="2" t="inlineStr">
        <is>
          <t>northcentralus</t>
        </is>
      </c>
      <c r="D16" s="2" t="inlineStr">
        <is>
          <t>microsoft.network/privateendpoints</t>
        </is>
      </c>
      <c r="E16" s="2" t="inlineStr">
        <is>
          <t>pe-appconfig-prod</t>
        </is>
      </c>
      <c r="F16" s="2" t="inlineStr">
        <is>
          <t/>
        </is>
      </c>
      <c r="G16" s="2" t="inlineStr">
        <is>
          <t/>
        </is>
      </c>
      <c r="H16" s="2" t="inlineStr">
        <is>
          <t/>
        </is>
      </c>
      <c r="I16" s="2" t="inlineStr">
        <is>
          <t/>
        </is>
      </c>
      <c r="J16" s="2" t="inlineStr">
        <is>
          <t>99.99%</t>
        </is>
      </c>
      <c r="K16" s="2" t="inlineStr">
        <is>
          <t>/subscriptions/xxxxxxxx-xxxx-xxxx-xxxx-xxxxxc661a03/resourceGroups/rg-spoke-tpa-prd-imkltpplo5qyg/providers/Microsoft.Network/privateEndpoints/pe-appconfig-prod</t>
        </is>
      </c>
    </row>
    <row r="17" s="3" customFormat="1">
      <c r="A17" s="3" t="inlineStr">
        <is>
          <t>xxxxxxxx-xxxx-xxxx-xxxx-xxxxxc661a03</t>
        </is>
      </c>
      <c r="B17" s="3" t="inlineStr">
        <is>
          <t>rg-spoke-tpa-prd-imkltpplo5qyg</t>
        </is>
      </c>
      <c r="C17" s="3" t="inlineStr">
        <is>
          <t>northcentralus</t>
        </is>
      </c>
      <c r="D17" s="3" t="inlineStr">
        <is>
          <t>microsoft.network/privateendpoints</t>
        </is>
      </c>
      <c r="E17" s="3" t="inlineStr">
        <is>
          <t>pe-kv-prod</t>
        </is>
      </c>
      <c r="F17" s="3" t="inlineStr">
        <is>
          <t/>
        </is>
      </c>
      <c r="G17" s="3" t="inlineStr">
        <is>
          <t/>
        </is>
      </c>
      <c r="H17" s="3" t="inlineStr">
        <is>
          <t/>
        </is>
      </c>
      <c r="I17" s="3" t="inlineStr">
        <is>
          <t/>
        </is>
      </c>
      <c r="J17" s="3" t="inlineStr">
        <is>
          <t>99.99%</t>
        </is>
      </c>
      <c r="K17" s="3" t="inlineStr">
        <is>
          <t>/subscriptions/xxxxxxxx-xxxx-xxxx-xxxx-xxxxxc661a03/resourceGroups/rg-spoke-tpa-prd-imkltpplo5qyg/providers/Microsoft.Network/privateEndpoints/pe-kv-prod</t>
        </is>
      </c>
    </row>
    <row r="18" s="2" customFormat="1">
      <c r="A18" s="2" t="inlineStr">
        <is>
          <t>xxxxxxxx-xxxx-xxxx-xxxx-xxxxxc661a03</t>
        </is>
      </c>
      <c r="B18" s="2" t="inlineStr">
        <is>
          <t>rg-spoke-tpa-prd-imkltpplo5qyg</t>
        </is>
      </c>
      <c r="C18" s="2" t="inlineStr">
        <is>
          <t>northcentralus</t>
        </is>
      </c>
      <c r="D18" s="2" t="inlineStr">
        <is>
          <t>microsoft.network/privateendpoints</t>
        </is>
      </c>
      <c r="E18" s="2" t="inlineStr">
        <is>
          <t>pe-sql-prod</t>
        </is>
      </c>
      <c r="F18" s="2" t="inlineStr">
        <is>
          <t/>
        </is>
      </c>
      <c r="G18" s="2" t="inlineStr">
        <is>
          <t/>
        </is>
      </c>
      <c r="H18" s="2" t="inlineStr">
        <is>
          <t/>
        </is>
      </c>
      <c r="I18" s="2" t="inlineStr">
        <is>
          <t/>
        </is>
      </c>
      <c r="J18" s="2" t="inlineStr">
        <is>
          <t>99.99%</t>
        </is>
      </c>
      <c r="K18" s="2" t="inlineStr">
        <is>
          <t>/subscriptions/xxxxxxxx-xxxx-xxxx-xxxx-xxxxxc661a03/resourceGroups/rg-spoke-tpa-prd-imkltpplo5qyg/providers/Microsoft.Network/privateEndpoints/pe-sql-prod</t>
        </is>
      </c>
    </row>
    <row r="19" s="3" customFormat="1">
      <c r="A19" s="3" t="inlineStr">
        <is>
          <t>xxxxxxxx-xxxx-xxxx-xxxx-xxxxxc661a03</t>
        </is>
      </c>
      <c r="B19" s="3" t="inlineStr">
        <is>
          <t>rg-spoke-tpa-prd-imkltpplo5qyg</t>
        </is>
      </c>
      <c r="C19" s="3" t="inlineStr">
        <is>
          <t>northcentralus</t>
        </is>
      </c>
      <c r="D19" s="3" t="inlineStr">
        <is>
          <t>microsoft.network/privateendpoints</t>
        </is>
      </c>
      <c r="E19" s="3" t="inlineStr">
        <is>
          <t>pe-storage-prod</t>
        </is>
      </c>
      <c r="F19" s="3" t="inlineStr">
        <is>
          <t/>
        </is>
      </c>
      <c r="G19" s="3" t="inlineStr">
        <is>
          <t/>
        </is>
      </c>
      <c r="H19" s="3" t="inlineStr">
        <is>
          <t/>
        </is>
      </c>
      <c r="I19" s="3" t="inlineStr">
        <is>
          <t/>
        </is>
      </c>
      <c r="J19" s="3" t="inlineStr">
        <is>
          <t>99.99%</t>
        </is>
      </c>
      <c r="K19" s="3" t="inlineStr">
        <is>
          <t>/subscriptions/xxxxxxxx-xxxx-xxxx-xxxx-xxxxxc661a03/resourceGroups/rg-spoke-tpa-prd-imkltpplo5qyg/providers/Microsoft.Network/privateEndpoints/pe-storage-prod</t>
        </is>
      </c>
    </row>
    <row r="20" s="2" customFormat="1">
      <c r="A20" s="2" t="inlineStr">
        <is>
          <t>xxxxxxxx-xxxx-xxxx-xxxx-xxxxxc661a03</t>
        </is>
      </c>
      <c r="B20" s="2" t="inlineStr">
        <is>
          <t>rg-spoke-tpa-prd-imkltpplo5qyg</t>
        </is>
      </c>
      <c r="C20" s="2" t="inlineStr">
        <is>
          <t>northcentralus</t>
        </is>
      </c>
      <c r="D20" s="2" t="inlineStr">
        <is>
          <t>microsoft.network/virtualnetworks</t>
        </is>
      </c>
      <c r="E20" s="2" t="inlineStr">
        <is>
          <t>vnet-spoke-tpa-prd</t>
        </is>
      </c>
      <c r="F20" s="2" t="inlineStr">
        <is>
          <t/>
        </is>
      </c>
      <c r="G20" s="2" t="inlineStr">
        <is>
          <t/>
        </is>
      </c>
      <c r="H20" s="2" t="inlineStr">
        <is>
          <t/>
        </is>
      </c>
      <c r="I20" s="2" t="inlineStr">
        <is>
          <t/>
        </is>
      </c>
      <c r="J20" s="2" t="inlineStr">
        <is>
          <t/>
        </is>
      </c>
      <c r="K20" s="2" t="inlineStr">
        <is>
          <t>/subscriptions/xxxxxxxx-xxxx-xxxx-xxxx-xxxxxc661a03/resourceGroups/rg-spoke-tpa-prd-imkltpplo5qyg/providers/Microsoft.Network/virtualNetworks/vnet-spoke-tpa-prd</t>
        </is>
      </c>
    </row>
    <row r="21" s="3" customFormat="1">
      <c r="A21" s="3" t="inlineStr">
        <is>
          <t>xxxxxxxx-xxxx-xxxx-xxxx-xxxxxc661a03</t>
        </is>
      </c>
      <c r="B21" s="3" t="inlineStr">
        <is>
          <t>rg-spoke-tpa-prd-imkltpplo5qyg</t>
        </is>
      </c>
      <c r="C21" s="3" t="inlineStr">
        <is>
          <t>northcentralus</t>
        </is>
      </c>
      <c r="D21" s="3" t="inlineStr">
        <is>
          <t>microsoft.operationalinsights/workspaces</t>
        </is>
      </c>
      <c r="E21" s="3" t="inlineStr">
        <is>
          <t>log-prod</t>
        </is>
      </c>
      <c r="F21" s="3" t="inlineStr">
        <is>
          <t>PerGB2018</t>
        </is>
      </c>
      <c r="G21" s="3" t="inlineStr">
        <is>
          <t/>
        </is>
      </c>
      <c r="H21" s="3" t="inlineStr">
        <is>
          <t/>
        </is>
      </c>
      <c r="I21" s="3" t="inlineStr">
        <is>
          <t/>
        </is>
      </c>
      <c r="J21" s="3" t="inlineStr">
        <is>
          <t>99.9%</t>
        </is>
      </c>
      <c r="K21" s="3" t="inlineStr">
        <is>
          <t>/subscriptions/xxxxxxxx-xxxx-xxxx-xxxx-xxxxxc661a03/resourceGroups/rg-spoke-tpa-prd-imkltpplo5qyg/providers/Microsoft.OperationalInsights/workspaces/log-prod</t>
        </is>
      </c>
    </row>
    <row r="22" s="2" customFormat="1">
      <c r="A22" s="2" t="inlineStr">
        <is>
          <t>xxxxxxxx-xxxx-xxxx-xxxx-xxxxxc661a03</t>
        </is>
      </c>
      <c r="B22" s="2" t="inlineStr">
        <is>
          <t>rg-spoke-tpa-prd-imkltpplo5qyg</t>
        </is>
      </c>
      <c r="C22" s="2" t="inlineStr">
        <is>
          <t>northcentralus</t>
        </is>
      </c>
      <c r="D22" s="2" t="inlineStr">
        <is>
          <t>microsoft.sql/servers</t>
        </is>
      </c>
      <c r="E22" s="2" t="inlineStr">
        <is>
          <t>sql-prod-fwubq55usdsyk</t>
        </is>
      </c>
      <c r="F22" s="2" t="inlineStr">
        <is>
          <t/>
        </is>
      </c>
      <c r="G22" s="2" t="inlineStr">
        <is>
          <t/>
        </is>
      </c>
      <c r="H22" s="2" t="inlineStr">
        <is>
          <t/>
        </is>
      </c>
      <c r="I22" s="2" t="inlineStr">
        <is>
          <t>v12.0</t>
        </is>
      </c>
      <c r="J22" s="2" t="inlineStr">
        <is>
          <t/>
        </is>
      </c>
      <c r="K22" s="2" t="inlineStr">
        <is>
          <t>/subscriptions/xxxxxxxx-xxxx-xxxx-xxxx-xxxxxc661a03/resourceGroups/rg-spoke-tpa-prd-imkltpplo5qyg/providers/Microsoft.Sql/servers/sql-prod-fwubq55usdsyk</t>
        </is>
      </c>
    </row>
    <row r="23" s="3" customFormat="1">
      <c r="A23" s="3" t="inlineStr">
        <is>
          <t>xxxxxxxx-xxxx-xxxx-xxxx-xxxxxc661a03</t>
        </is>
      </c>
      <c r="B23" s="3" t="inlineStr">
        <is>
          <t>rg-spoke-tpa-prd-imkltpplo5qyg</t>
        </is>
      </c>
      <c r="C23" s="3" t="inlineStr">
        <is>
          <t>northcentralus</t>
        </is>
      </c>
      <c r="D23" s="3" t="inlineStr">
        <is>
          <t>microsoft.sql/servers/databases</t>
        </is>
      </c>
      <c r="E23" s="3" t="inlineStr">
        <is>
          <t>db-config</t>
        </is>
      </c>
      <c r="F23" s="3" t="inlineStr">
        <is>
          <t>Standard</t>
        </is>
      </c>
      <c r="G23" s="3" t="inlineStr">
        <is>
          <t>Standard</t>
        </is>
      </c>
      <c r="H23" s="3" t="inlineStr">
        <is>
          <t>50</t>
        </is>
      </c>
      <c r="I23" s="3" t="inlineStr">
        <is>
          <t>v12.0,user</t>
        </is>
      </c>
      <c r="J23" s="3" t="inlineStr">
        <is>
          <t>99.99%</t>
        </is>
      </c>
      <c r="K23" s="3" t="inlineStr">
        <is>
          <t>/subscriptions/xxxxxxxx-xxxx-xxxx-xxxx-xxxxxc661a03/resourceGroups/rg-spoke-tpa-prd-imkltpplo5qyg/providers/Microsoft.Sql/servers/sql-prod-fwubq55usdsyk/databases/db-config</t>
        </is>
      </c>
    </row>
    <row r="24" s="2" customFormat="1">
      <c r="A24" s="2" t="inlineStr">
        <is>
          <t>xxxxxxxx-xxxx-xxxx-xxxx-xxxxxc661a03</t>
        </is>
      </c>
      <c r="B24" s="2" t="inlineStr">
        <is>
          <t>rg-spoke-tpa-prd-imkltpplo5qyg</t>
        </is>
      </c>
      <c r="C24" s="2" t="inlineStr">
        <is>
          <t>northcentralus</t>
        </is>
      </c>
      <c r="D24" s="2" t="inlineStr">
        <is>
          <t>microsoft.sql/servers/databases</t>
        </is>
      </c>
      <c r="E24" s="2" t="inlineStr">
        <is>
          <t>master</t>
        </is>
      </c>
      <c r="F24" s="2" t="inlineStr">
        <is>
          <t>GP_SYSTEM</t>
        </is>
      </c>
      <c r="G24" s="2" t="inlineStr">
        <is>
          <t>System</t>
        </is>
      </c>
      <c r="H24" s="2" t="inlineStr">
        <is>
          <t>4</t>
        </is>
      </c>
      <c r="I24" s="2" t="inlineStr">
        <is>
          <t>v12.0,system,serverless</t>
        </is>
      </c>
      <c r="J24" s="2" t="inlineStr">
        <is>
          <t/>
        </is>
      </c>
      <c r="K24" s="2" t="inlineStr">
        <is>
          <t>/subscriptions/xxxxxxxx-xxxx-xxxx-xxxx-xxxxxc661a03/resourceGroups/rg-spoke-tpa-prd-imkltpplo5qyg/providers/Microsoft.Sql/servers/sql-prod-fwubq55usdsyk/databases/master</t>
        </is>
      </c>
    </row>
    <row r="25" s="3" customFormat="1">
      <c r="A25" s="3" t="inlineStr">
        <is>
          <t>xxxxxxxx-xxxx-xxxx-xxxx-xxxxxc661a03</t>
        </is>
      </c>
      <c r="B25" s="3" t="inlineStr">
        <is>
          <t>rg-spoke-tpa-prd-imkltpplo5qyg</t>
        </is>
      </c>
      <c r="C25" s="3" t="inlineStr">
        <is>
          <t>northcentralus</t>
        </is>
      </c>
      <c r="D25" s="3" t="inlineStr">
        <is>
          <t>microsoft.storage/storageaccounts</t>
        </is>
      </c>
      <c r="E25" s="3" t="inlineStr">
        <is>
          <t>sttpaprodfwubq55usdsyk</t>
        </is>
      </c>
      <c r="F25" s="3" t="inlineStr">
        <is>
          <t>Standard_RAGRS</t>
        </is>
      </c>
      <c r="G25" s="3" t="inlineStr">
        <is>
          <t>Standard</t>
        </is>
      </c>
      <c r="H25" s="3" t="inlineStr">
        <is>
          <t/>
        </is>
      </c>
      <c r="I25" s="3" t="inlineStr">
        <is>
          <t>StorageV2</t>
        </is>
      </c>
      <c r="J25" s="3" t="inlineStr">
        <is>
          <t>Read: 99.9%, Write: 99.9%</t>
        </is>
      </c>
      <c r="K25" s="3" t="inlineStr">
        <is>
          <t>/subscriptions/xxxxxxxx-xxxx-xxxx-xxxx-xxxxxc661a03/resourceGroups/rg-spoke-tpa-prd-imkltpplo5qyg/providers/Microsoft.Storage/storageAccounts/sttpaprodfwubq55usdsyk</t>
        </is>
      </c>
    </row>
    <row r="26" s="2" customFormat="1">
      <c r="A26" s="2" t="inlineStr">
        <is>
          <t>xxxxxxxx-xxxx-xxxx-xxxx-xxxxxc661a03</t>
        </is>
      </c>
      <c r="B26" s="2" t="inlineStr">
        <is>
          <t>rg-spoke-tpa-prd-imkltpplo5qyg</t>
        </is>
      </c>
      <c r="C26" s="2" t="inlineStr">
        <is>
          <t>northcentralus</t>
        </is>
      </c>
      <c r="D26" s="2" t="inlineStr">
        <is>
          <t>microsoft.web/serverfarms</t>
        </is>
      </c>
      <c r="E26" s="2" t="inlineStr">
        <is>
          <t>asp-tpa-prod-ncus</t>
        </is>
      </c>
      <c r="F26" s="2" t="inlineStr">
        <is>
          <t>P1v3</t>
        </is>
      </c>
      <c r="G26" s="2" t="inlineStr">
        <is>
          <t>PremiumV3</t>
        </is>
      </c>
      <c r="H26" s="2" t="inlineStr">
        <is>
          <t>1</t>
        </is>
      </c>
      <c r="I26" s="2" t="inlineStr">
        <is>
          <t>app</t>
        </is>
      </c>
      <c r="J26" s="2" t="inlineStr">
        <is>
          <t>99.95%</t>
        </is>
      </c>
      <c r="K26" s="2" t="inlineStr">
        <is>
          <t>/subscriptions/xxxxxxxx-xxxx-xxxx-xxxx-xxxxxc661a03/resourceGroups/rg-spoke-tpa-prd-imkltpplo5qyg/providers/Microsoft.Web/serverFarms/asp-tpa-prod-ncus</t>
        </is>
      </c>
    </row>
    <row r="27" s="3" customFormat="1">
      <c r="A27" s="3" t="inlineStr">
        <is>
          <t>xxxxxxxx-xxxx-xxxx-xxxx-xxxxxc661a03</t>
        </is>
      </c>
      <c r="B27" s="3" t="inlineStr">
        <is>
          <t>rg-spoke-tpa-prd-imkltpplo5qyg</t>
        </is>
      </c>
      <c r="C27" s="3" t="inlineStr">
        <is>
          <t>northcentralus</t>
        </is>
      </c>
      <c r="D27" s="3" t="inlineStr">
        <is>
          <t>microsoft.web/sites</t>
        </is>
      </c>
      <c r="E27" s="3" t="inlineStr">
        <is>
          <t>app-tpa-prod-backend-ncus</t>
        </is>
      </c>
      <c r="F27" s="3" t="inlineStr">
        <is>
          <t/>
        </is>
      </c>
      <c r="G27" s="3" t="inlineStr">
        <is>
          <t/>
        </is>
      </c>
      <c r="H27" s="3" t="inlineStr">
        <is>
          <t/>
        </is>
      </c>
      <c r="I27" s="3" t="inlineStr">
        <is>
          <t>app</t>
        </is>
      </c>
      <c r="J27" s="3" t="inlineStr">
        <is>
          <t>99.95%</t>
        </is>
      </c>
      <c r="K27" s="3" t="inlineStr">
        <is>
          <t>/subscriptions/xxxxxxxx-xxxx-xxxx-xxxx-xxxxxc661a03/resourceGroups/rg-spoke-tpa-prd-imkltpplo5qyg/providers/Microsoft.Web/sites/app-tpa-prod-backend-ncus</t>
        </is>
      </c>
    </row>
    <row r="28" s="2" customFormat="1">
      <c r="A28" s="2" t="inlineStr">
        <is>
          <t>xxxxxxxx-xxxx-xxxx-xxxx-xxxxxc661a03</t>
        </is>
      </c>
      <c r="B28" s="2" t="inlineStr">
        <is>
          <t>rg-spoke-tpa-prd-imkltpplo5qyg</t>
        </is>
      </c>
      <c r="C28" s="2" t="inlineStr">
        <is>
          <t>northcentralus</t>
        </is>
      </c>
      <c r="D28" s="2" t="inlineStr">
        <is>
          <t>microsoft.web/sites</t>
        </is>
      </c>
      <c r="E28" s="2" t="inlineStr">
        <is>
          <t>app-tpa-prod-frontend-ncus</t>
        </is>
      </c>
      <c r="F28" s="2" t="inlineStr">
        <is>
          <t/>
        </is>
      </c>
      <c r="G28" s="2" t="inlineStr">
        <is>
          <t/>
        </is>
      </c>
      <c r="H28" s="2" t="inlineStr">
        <is>
          <t/>
        </is>
      </c>
      <c r="I28" s="2" t="inlineStr">
        <is>
          <t>app</t>
        </is>
      </c>
      <c r="J28" s="2" t="inlineStr">
        <is>
          <t>99.95%</t>
        </is>
      </c>
      <c r="K28" s="2" t="inlineStr">
        <is>
          <t>/subscriptions/xxxxxxxx-xxxx-xxxx-xxxx-xxxxxc661a03/resourceGroups/rg-spoke-tpa-prd-imkltpplo5qyg/providers/Microsoft.Web/sites/app-tpa-prod-frontend-ncus</t>
        </is>
      </c>
    </row>
    <row r="29" s="3" customFormat="1">
      <c r="A29" s="3" t="inlineStr">
        <is>
          <t>xxxxxxxx-xxxx-xxxx-xxxx-xxxxxc661a03</t>
        </is>
      </c>
      <c r="B29" s="3" t="inlineStr">
        <is>
          <t>networkwatcherrg</t>
        </is>
      </c>
      <c r="C29" s="3" t="inlineStr">
        <is>
          <t>northcentralus</t>
        </is>
      </c>
      <c r="D29" s="3" t="inlineStr">
        <is>
          <t>microsoft.network/networkwatchers</t>
        </is>
      </c>
      <c r="E29" s="3" t="inlineStr">
        <is>
          <t>NetworkWatcher_northcentralus</t>
        </is>
      </c>
      <c r="F29" s="3" t="inlineStr">
        <is>
          <t/>
        </is>
      </c>
      <c r="G29" s="3" t="inlineStr">
        <is>
          <t/>
        </is>
      </c>
      <c r="H29" s="3" t="inlineStr">
        <is>
          <t/>
        </is>
      </c>
      <c r="I29" s="3" t="inlineStr">
        <is>
          <t/>
        </is>
      </c>
      <c r="J29" s="3" t="inlineStr">
        <is>
          <t>99.9%</t>
        </is>
      </c>
      <c r="K29" s="3" t="inlineStr">
        <is>
          <t>/subscriptions/xxxxxxxx-xxxx-xxxx-xxxx-xxxxxc661a03/resourceGroups/NetworkWatcherRG/providers/Microsoft.Network/networkWatchers/NetworkWatcher_northcentralus</t>
        </is>
      </c>
    </row>
  </sheetData>
  <autoFilter ref="$A$4:$K$29"/>
  <drawing xmlns:relationships="http://schemas.openxmlformats.org/officeDocument/2006/relationships" relationships:id="rId1"/>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9" max="9" width="39" customWidth="1"/>
    <col min="8" max="8" width="120" customWidth="1"/>
    <col min="7" max="7" width="98" customWidth="1"/>
    <col min="6" max="6" width="9" customWidth="1"/>
    <col min="5" max="5" width="19" customWidth="1"/>
    <col min="4" max="4" width="29" customWidth="1"/>
    <col min="3" max="3" width="36" customWidth="1"/>
    <col min="2" max="2" width="27" customWidth="1"/>
    <col min="1" max="1" width="39" customWidth="1"/>
  </cols>
  <sheetData>
    <row r="4" s="1" customFormat="1">
      <c r="A4" s="1" t="inlineStr">
        <is>
          <t>Subscription Id</t>
        </is>
      </c>
      <c r="B4" s="1" t="inlineStr">
        <is>
          <t>Subscription Name</t>
        </is>
      </c>
      <c r="C4" s="1" t="inlineStr">
        <is>
          <t>Resource Type</t>
        </is>
      </c>
      <c r="D4" s="1" t="inlineStr">
        <is>
          <t>Resource Name</t>
        </is>
      </c>
      <c r="E4" s="1" t="inlineStr">
        <is>
          <t>Category</t>
        </is>
      </c>
      <c r="F4" s="1" t="inlineStr">
        <is>
          <t>Impact</t>
        </is>
      </c>
      <c r="G4" s="1" t="inlineStr">
        <is>
          <t>Description</t>
        </is>
      </c>
      <c r="H4" s="1" t="inlineStr">
        <is>
          <t>Resource Id</t>
        </is>
      </c>
      <c r="I4" s="1" t="inlineStr">
        <is>
          <t>Recommendation Id</t>
        </is>
      </c>
    </row>
    <row r="5" s="3" customFormat="1">
      <c r="A5" s="3" t="inlineStr">
        <is>
          <t>xxxxxxxx-xxxx-xxxx-xxxx-xxxxxc661a03</t>
        </is>
      </c>
      <c r="B5" s="3" t="inlineStr">
        <is>
          <t>dt-prd-tpa-oeqrq2jxadm36</t>
        </is>
      </c>
      <c r="C5" s="3" t="inlineStr">
        <is>
          <t>microsoft.network/virtualnetworks</t>
        </is>
      </c>
      <c r="D5" s="3" t="inlineStr">
        <is>
          <t>vnet-spoke-tpa-prd</t>
        </is>
      </c>
      <c r="E5" s="3" t="inlineStr">
        <is>
          <t>HighAvailability</t>
        </is>
      </c>
      <c r="F5" s="3" t="inlineStr">
        <is>
          <t>Medium</t>
        </is>
      </c>
      <c r="G5" s="3" t="inlineStr">
        <is>
          <t>Use NAT gateway for outbound connectivity</t>
        </is>
      </c>
      <c r="H5" s="3" t="inlineStr">
        <is>
          <t>/subscriptions/xxxxxxxx-xxxx-xxxx-xxxx-xxxxxc661a03/resourcegroups/rg-spoke-tpa-prd-imkltpplo5qyg/providers/microsoft.network/virtualnetworks/vnet-spoke-tpa-prd</t>
        </is>
      </c>
      <c r="I5" s="3" t="inlineStr">
        <is>
          <t>56f0c458-521d-4b8b-a704-c0a099483d19</t>
        </is>
      </c>
    </row>
    <row r="6" s="2" customFormat="1">
      <c r="A6" s="2" t="inlineStr">
        <is>
          <t>xxxxxxxx-xxxx-xxxx-xxxx-xxxxxc661a03</t>
        </is>
      </c>
      <c r="B6" s="2" t="inlineStr">
        <is>
          <t>dt-prd-tpa-oeqrq2jxadm36</t>
        </is>
      </c>
      <c r="C6" s="2" t="inlineStr">
        <is>
          <t>microsoft.storage/storageaccounts</t>
        </is>
      </c>
      <c r="D6" s="2" t="inlineStr">
        <is>
          <t>sttpaprodfwubq55usdsyk</t>
        </is>
      </c>
      <c r="E6" s="2" t="inlineStr">
        <is>
          <t>HighAvailability</t>
        </is>
      </c>
      <c r="F6" s="2" t="inlineStr">
        <is>
          <t>Medium</t>
        </is>
      </c>
      <c r="G6" s="2" t="inlineStr">
        <is>
          <t>Enable Soft Delete to protect your blob data</t>
        </is>
      </c>
      <c r="H6" s="2" t="inlineStr">
        <is>
          <t>/subscriptions/xxxxxxxx-xxxx-xxxx-xxxx-xxxxxc661a03/resourcegroups/rg-spoke-tpa-prd-imkltpplo5qyg/providers/microsoft.storage/storageaccounts/sttpaprodfwubq55usdsyk</t>
        </is>
      </c>
      <c r="I6" s="2" t="inlineStr">
        <is>
          <t>42dbf883-9e4b-4f84-9da4-232b87c4b5e9</t>
        </is>
      </c>
    </row>
    <row r="7" s="3" customFormat="1">
      <c r="A7" s="3" t="inlineStr">
        <is>
          <t>xxxxxxxx-xxxx-xxxx-xxxx-xxxxxc661a03</t>
        </is>
      </c>
      <c r="B7" s="3" t="inlineStr">
        <is>
          <t>dt-prd-tpa-oeqrq2jxadm36</t>
        </is>
      </c>
      <c r="C7" s="3" t="inlineStr">
        <is>
          <t>microsoft.web/serverfarms</t>
        </is>
      </c>
      <c r="D7" s="3" t="inlineStr">
        <is>
          <t>asp-tpa-prod-ncus</t>
        </is>
      </c>
      <c r="E7" s="3" t="inlineStr">
        <is>
          <t>HighAvailability</t>
        </is>
      </c>
      <c r="F7" s="3" t="inlineStr">
        <is>
          <t>High</t>
        </is>
      </c>
      <c r="G7" s="3" t="inlineStr">
        <is>
          <t>Set minimum instance count for App Service to 2</t>
        </is>
      </c>
      <c r="H7" s="3" t="inlineStr">
        <is>
          <t>/subscriptions/xxxxxxxx-xxxx-xxxx-xxxx-xxxxxc661a03/resourcegroups/rg-spoke-tpa-prd-imkltpplo5qyg/providers/microsoft.web/serverfarms/asp-tpa-prod-ncus</t>
        </is>
      </c>
      <c r="I7" s="3" t="inlineStr">
        <is>
          <t>e987dcce-fd2c-4683-8abf-f1a34bbad737</t>
        </is>
      </c>
    </row>
    <row r="8" s="2" customFormat="1">
      <c r="A8" s="2" t="inlineStr">
        <is>
          <t>xxxxxxxx-xxxx-xxxx-xxxx-xxxxxc661a03</t>
        </is>
      </c>
      <c r="B8" s="2" t="inlineStr">
        <is>
          <t>dt-prd-tpa-oeqrq2jxadm36</t>
        </is>
      </c>
      <c r="C8" s="2" t="inlineStr">
        <is>
          <t>microsoft.web/serverfarms</t>
        </is>
      </c>
      <c r="D8" s="2" t="inlineStr">
        <is>
          <t>asp-tpa-prod-ncus</t>
        </is>
      </c>
      <c r="E8" s="2" t="inlineStr">
        <is>
          <t>HighAvailability</t>
        </is>
      </c>
      <c r="F8" s="2" t="inlineStr">
        <is>
          <t>High</t>
        </is>
      </c>
      <c r="G8" s="2" t="inlineStr">
        <is>
          <t>Use zone-supported App Service Plan</t>
        </is>
      </c>
      <c r="H8" s="2" t="inlineStr">
        <is>
          <t>/subscriptions/xxxxxxxx-xxxx-xxxx-xxxx-xxxxxc661a03/resourcegroups/rg-spoke-tpa-prd-imkltpplo5qyg/providers/microsoft.web/serverfarms/asp-tpa-prod-ncus</t>
        </is>
      </c>
      <c r="I8" s="2" t="inlineStr">
        <is>
          <t>fac3022a-eda5-44b9-b54d-cb500d1d01dd</t>
        </is>
      </c>
    </row>
    <row r="9" s="3" customFormat="1">
      <c r="A9" s="3" t="inlineStr">
        <is>
          <t>xxxxxxxx-xxxx-xxxx-xxxx-xxxxxc661a03</t>
        </is>
      </c>
      <c r="B9" s="3" t="inlineStr">
        <is>
          <t>dt-prd-tpa-oeqrq2jxadm36</t>
        </is>
      </c>
      <c r="C9" s="3" t="inlineStr">
        <is>
          <t>microsoft.cdn/profiles</t>
        </is>
      </c>
      <c r="D9" s="3" t="inlineStr">
        <is>
          <t>az-fd-prod</t>
        </is>
      </c>
      <c r="E9" s="3" t="inlineStr">
        <is>
          <t>Performance</t>
        </is>
      </c>
      <c r="F9" s="3" t="inlineStr">
        <is>
          <t>Medium</t>
        </is>
      </c>
      <c r="G9" s="3" t="inlineStr">
        <is>
          <t>Upgrade SDK version recommendation</t>
        </is>
      </c>
      <c r="H9" s="3" t="inlineStr">
        <is>
          <t>/subscriptions/xxxxxxxx-xxxx-xxxx-xxxx-xxxxxc661a03/resourcegroups/rg-spoke-tpa-prd-imkltpplo5qyg/providers/microsoft.cdn/profiles/az-fd-prod</t>
        </is>
      </c>
      <c r="I9" s="3" t="inlineStr">
        <is>
          <t>e607041e-3194-42ad-9994-b6ea5ec12f5e</t>
        </is>
      </c>
    </row>
    <row r="10" s="2" customFormat="1">
      <c r="A10" s="2" t="inlineStr">
        <is>
          <t>xxxxxxxx-xxxx-xxxx-xxxx-xxxxxc661a03</t>
        </is>
      </c>
      <c r="B10" s="2" t="inlineStr">
        <is>
          <t>dt-prd-tpa-oeqrq2jxadm36</t>
        </is>
      </c>
      <c r="C10" s="2" t="inlineStr">
        <is>
          <t>microsoft.sql/servers</t>
        </is>
      </c>
      <c r="D10" s="2" t="inlineStr">
        <is>
          <t>master</t>
        </is>
      </c>
      <c r="E10" s="2" t="inlineStr">
        <is>
          <t>HighAvailability</t>
        </is>
      </c>
      <c r="F10" s="2" t="inlineStr">
        <is>
          <t>High</t>
        </is>
      </c>
      <c r="G10" s="2" t="inlineStr">
        <is>
          <t>Enable zone redundancy for Azure SQL Database to achieve high availability and resiliency</t>
        </is>
      </c>
      <c r="H10" s="2" t="inlineStr">
        <is>
          <t>/subscriptions/xxxxxxxx-xxxx-xxxx-xxxx-xxxxxc661a03/resourcegroups/rg-spoke-tpa-prd-imkltpplo5qyg/providers/microsoft.sql/servers/sql-prod-fwubq55usdsyk/databases/master</t>
        </is>
      </c>
      <c r="I10" s="2" t="inlineStr">
        <is>
          <t>fe62c79b-21e2-43fe-82b7-f7ec3b76c2aa</t>
        </is>
      </c>
    </row>
    <row r="11" s="3" customFormat="1">
      <c r="A11" s="3" t="inlineStr">
        <is>
          <t>xxxxxxxx-xxxx-xxxx-xxxx-xxxxxc661a03</t>
        </is>
      </c>
      <c r="B11" s="3" t="inlineStr">
        <is>
          <t>dt-prd-tpa-oeqrq2jxadm36</t>
        </is>
      </c>
      <c r="C11" s="3" t="inlineStr">
        <is>
          <t>microsoft.web/sites</t>
        </is>
      </c>
      <c r="D11" s="3" t="inlineStr">
        <is>
          <t>app-tpa-prod-frontend-ncus</t>
        </is>
      </c>
      <c r="E11" s="3" t="inlineStr">
        <is>
          <t>HighAvailability</t>
        </is>
      </c>
      <c r="F11" s="3" t="inlineStr">
        <is>
          <t>High</t>
        </is>
      </c>
      <c r="G11" s="3" t="inlineStr">
        <is>
          <t>Enable Health check for App Service</t>
        </is>
      </c>
      <c r="H11" s="3" t="inlineStr">
        <is>
          <t>/subscriptions/xxxxxxxx-xxxx-xxxx-xxxx-xxxxxc661a03/resourcegroups/rg-spoke-tpa-prd-imkltpplo5qyg/providers/microsoft.web/sites/app-tpa-prod-frontend-ncus</t>
        </is>
      </c>
      <c r="I11" s="3" t="inlineStr">
        <is>
          <t>72063b96-92fa-4b74-9457-b84b662155f9</t>
        </is>
      </c>
    </row>
    <row r="12" s="2" customFormat="1">
      <c r="A12" s="2" t="inlineStr">
        <is>
          <t>xxxxxxxx-xxxx-xxxx-xxxx-xxxxxc661a03</t>
        </is>
      </c>
      <c r="B12" s="2" t="inlineStr">
        <is>
          <t>dt-prd-tpa-oeqrq2jxadm36</t>
        </is>
      </c>
      <c r="C12" s="2" t="inlineStr">
        <is>
          <t>microsoft.sql/servers</t>
        </is>
      </c>
      <c r="D12" s="2" t="inlineStr">
        <is>
          <t>db-config</t>
        </is>
      </c>
      <c r="E12" s="2" t="inlineStr">
        <is>
          <t>Security</t>
        </is>
      </c>
      <c r="F12" s="2" t="inlineStr">
        <is>
          <t>Low</t>
        </is>
      </c>
      <c r="G12" s="2" t="inlineStr">
        <is>
          <t>Track all users with access to the database for SQL Databases</t>
        </is>
      </c>
      <c r="H12" s="2" t="inlineStr">
        <is>
          <t>/subscriptions/xxxxxxxx-xxxx-xxxx-xxxx-xxxxxc661a03/resourcegroups/rg-spoke-tpa-prd-imkltpplo5qyg/providers/microsoft.sql/servers/sql-prod-fwubq55usdsyk/databases/db-config</t>
        </is>
      </c>
      <c r="I12" s="2" t="inlineStr">
        <is>
          <t>eeed5c32-daff-489c-8307-76035ee85274</t>
        </is>
      </c>
    </row>
    <row r="13" s="3" customFormat="1">
      <c r="A13" s="3" t="inlineStr">
        <is>
          <t>xxxxxxxx-xxxx-xxxx-xxxx-xxxxxc661a03</t>
        </is>
      </c>
      <c r="B13" s="3" t="inlineStr">
        <is>
          <t>dt-prd-tpa-oeqrq2jxadm36</t>
        </is>
      </c>
      <c r="C13" s="3" t="inlineStr">
        <is>
          <t>microsoft.web/sites</t>
        </is>
      </c>
      <c r="D13" s="3" t="inlineStr">
        <is>
          <t>app-tpa-prod-backend-ncus</t>
        </is>
      </c>
      <c r="E13" s="3" t="inlineStr">
        <is>
          <t>HighAvailability</t>
        </is>
      </c>
      <c r="F13" s="3" t="inlineStr">
        <is>
          <t>High</t>
        </is>
      </c>
      <c r="G13" s="3" t="inlineStr">
        <is>
          <t>Enable Health check for App Service</t>
        </is>
      </c>
      <c r="H13" s="3" t="inlineStr">
        <is>
          <t>/subscriptions/xxxxxxxx-xxxx-xxxx-xxxx-xxxxxc661a03/resourcegroups/rg-spoke-tpa-prd-imkltpplo5qyg/providers/microsoft.web/sites/app-tpa-prod-backend-ncus</t>
        </is>
      </c>
      <c r="I13" s="3" t="inlineStr">
        <is>
          <t>72063b96-92fa-4b74-9457-b84b662155f9</t>
        </is>
      </c>
    </row>
    <row r="14" s="2" customFormat="1">
      <c r="A14" s="2" t="inlineStr">
        <is>
          <t>xxxxxxxx-xxxx-xxxx-xxxx-xxxxxc661a03</t>
        </is>
      </c>
      <c r="B14" s="2" t="inlineStr">
        <is>
          <t>dt-prd-tpa-oeqrq2jxadm36</t>
        </is>
      </c>
      <c r="C14" s="2" t="inlineStr">
        <is>
          <t>microsoft.storage/storageaccounts</t>
        </is>
      </c>
      <c r="D14" s="2" t="inlineStr">
        <is>
          <t>sttpaprodfwubq55usdsyk</t>
        </is>
      </c>
      <c r="E14" s="2" t="inlineStr">
        <is>
          <t>Security</t>
        </is>
      </c>
      <c r="F14" s="2" t="inlineStr">
        <is>
          <t>Medium</t>
        </is>
      </c>
      <c r="G14" s="2" t="inlineStr">
        <is>
          <t>Storage accounts should prevent shared key access</t>
        </is>
      </c>
      <c r="H14" s="2" t="inlineStr">
        <is>
          <t>/subscriptions/xxxxxxxx-xxxx-xxxx-xxxx-xxxxxc661a03/resourcegroups/rg-spoke-tpa-prd-imkltpplo5qyg/providers/microsoft.storage/storageaccounts/sttpaprodfwubq55usdsyk</t>
        </is>
      </c>
      <c r="I14" s="2" t="inlineStr">
        <is>
          <t>3b363842-30f5-4056-980d-3a40fa5de8b3</t>
        </is>
      </c>
    </row>
    <row r="15" s="3" customFormat="1">
      <c r="A15" s="3" t="inlineStr">
        <is>
          <t>xxxxxxxx-xxxx-xxxx-xxxx-xxxxxc661a03</t>
        </is>
      </c>
      <c r="B15" s="3" t="inlineStr">
        <is>
          <t>dt-prd-tpa-oeqrq2jxadm36</t>
        </is>
      </c>
      <c r="C15" s="3" t="inlineStr">
        <is>
          <t>microsoft.sql/servers</t>
        </is>
      </c>
      <c r="D15" s="3" t="inlineStr">
        <is>
          <t>db-config</t>
        </is>
      </c>
      <c r="E15" s="3" t="inlineStr">
        <is>
          <t>HighAvailability</t>
        </is>
      </c>
      <c r="F15" s="3" t="inlineStr">
        <is>
          <t>High</t>
        </is>
      </c>
      <c r="G15" s="3" t="inlineStr">
        <is>
          <t>Enable zone redundancy for Azure SQL Database to achieve high availability and resiliency</t>
        </is>
      </c>
      <c r="H15" s="3" t="inlineStr">
        <is>
          <t>/subscriptions/xxxxxxxx-xxxx-xxxx-xxxx-xxxxxc661a03/resourcegroups/rg-spoke-tpa-prd-imkltpplo5qyg/providers/microsoft.sql/servers/sql-prod-fwubq55usdsyk/databases/db-config</t>
        </is>
      </c>
      <c r="I15" s="3" t="inlineStr">
        <is>
          <t>fe62c79b-21e2-43fe-82b7-f7ec3b76c2aa</t>
        </is>
      </c>
    </row>
    <row r="16" s="2" customFormat="1">
      <c r="A16" s="2" t="inlineStr">
        <is>
          <t>xxxxxxxx-xxxx-xxxx-xxxx-xxxxxc661a03</t>
        </is>
      </c>
      <c r="B16" s="2" t="inlineStr">
        <is>
          <t>dt-prd-tpa-oeqrq2jxadm36</t>
        </is>
      </c>
      <c r="C16" s="2" t="inlineStr">
        <is>
          <t>microsoft.sql/servers</t>
        </is>
      </c>
      <c r="D16" s="2" t="inlineStr">
        <is>
          <t>sql-prod-fwubq55usdsyk</t>
        </is>
      </c>
      <c r="E16" s="2" t="inlineStr">
        <is>
          <t>Security</t>
        </is>
      </c>
      <c r="F16" s="2" t="inlineStr">
        <is>
          <t>Medium</t>
        </is>
      </c>
      <c r="G16" s="2" t="inlineStr">
        <is>
          <t>Azure SQL Database should have Azure Active Directory Only Authentication enabled</t>
        </is>
      </c>
      <c r="H16" s="2" t="inlineStr">
        <is>
          <t>/subscriptions/xxxxxxxx-xxxx-xxxx-xxxx-xxxxxc661a03/resourcegroups/rg-spoke-tpa-prd-imkltpplo5qyg/providers/microsoft.sql/servers/sql-prod-fwubq55usdsyk</t>
        </is>
      </c>
      <c r="I16" s="2" t="inlineStr">
        <is>
          <t>c076bfee-3834-4685-8ab5-17f5207c827e</t>
        </is>
      </c>
    </row>
    <row r="17" s="3" customFormat="1">
      <c r="A17" s="3" t="inlineStr">
        <is>
          <t>xxxxxxxx-xxxx-xxxx-xxxx-xxxxxc661a03</t>
        </is>
      </c>
      <c r="B17" s="3" t="inlineStr">
        <is>
          <t>dt-prd-tpa-oeqrq2jxadm36</t>
        </is>
      </c>
      <c r="C17" s="3" t="inlineStr">
        <is>
          <t>microsoft.cdn/profiles</t>
        </is>
      </c>
      <c r="D17" s="3" t="inlineStr">
        <is>
          <t>az-fd-prod</t>
        </is>
      </c>
      <c r="E17" s="3" t="inlineStr">
        <is>
          <t>HighAvailability</t>
        </is>
      </c>
      <c r="F17" s="3" t="inlineStr">
        <is>
          <t>Medium</t>
        </is>
      </c>
      <c r="G17" s="3" t="inlineStr">
        <is>
          <t>Use managed TLS certificates</t>
        </is>
      </c>
      <c r="H17" s="3" t="inlineStr">
        <is>
          <t>/subscriptions/xxxxxxxx-xxxx-xxxx-xxxx-xxxxxc661a03/resourcegroups/rg-spoke-tpa-prd-imkltpplo5qyg/providers/microsoft.cdn/profiles/az-fd-prod</t>
        </is>
      </c>
      <c r="I17" s="3" t="inlineStr">
        <is>
          <t>5185d64e-46fd-4ed2-8633-6d81f5e3ca59</t>
        </is>
      </c>
    </row>
    <row r="18" s="2" customFormat="1">
      <c r="A18" s="2" t="inlineStr">
        <is>
          <t>xxxxxxxx-xxxx-xxxx-xxxx-xxxxxc661a03</t>
        </is>
      </c>
      <c r="B18" s="2" t="inlineStr">
        <is>
          <t>dt-prd-tpa-oeqrq2jxadm36</t>
        </is>
      </c>
      <c r="C18" s="2" t="inlineStr">
        <is>
          <t>microsoft.sql/servers</t>
        </is>
      </c>
      <c r="D18" s="2" t="inlineStr">
        <is>
          <t>sql-prod-fwubq55usdsyk</t>
        </is>
      </c>
      <c r="E18" s="2" t="inlineStr">
        <is>
          <t>Security</t>
        </is>
      </c>
      <c r="F18" s="2" t="inlineStr">
        <is>
          <t>High</t>
        </is>
      </c>
      <c r="G18" s="2" t="inlineStr">
        <is>
          <t>SQL databases should have vulnerability findings resolved</t>
        </is>
      </c>
      <c r="H18" s="2" t="inlineStr">
        <is>
          <t>/subscriptions/xxxxxxxx-xxxx-xxxx-xxxx-xxxxxc661a03/resourcegroups/rg-spoke-tpa-prd-imkltpplo5qyg/providers/microsoft.sql/servers/sql-prod-fwubq55usdsyk</t>
        </is>
      </c>
      <c r="I18" s="2" t="inlineStr">
        <is>
          <t>82e20e14-edc5-4373-bfc4-f13121257c37</t>
        </is>
      </c>
    </row>
    <row r="19" s="3" customFormat="1">
      <c r="A19" s="3" t="inlineStr">
        <is>
          <t>xxxxxxxx-xxxx-xxxx-xxxx-xxxxxc661a03</t>
        </is>
      </c>
      <c r="B19" s="3" t="inlineStr">
        <is>
          <t>dt-prd-tpa-oeqrq2jxadm36</t>
        </is>
      </c>
      <c r="C19" s="3" t="inlineStr">
        <is>
          <t>microsoft.network/virtualnetworks</t>
        </is>
      </c>
      <c r="D19" s="3" t="inlineStr">
        <is>
          <t>vnet-spoke-tpa-prd</t>
        </is>
      </c>
      <c r="E19" s="3" t="inlineStr">
        <is>
          <t>Security</t>
        </is>
      </c>
      <c r="F19" s="3" t="inlineStr">
        <is>
          <t>Low</t>
        </is>
      </c>
      <c r="G19" s="3" t="inlineStr">
        <is>
          <t>Virtual networks should be protected by Azure Firewall</t>
        </is>
      </c>
      <c r="H19" s="3" t="inlineStr">
        <is>
          <t>/subscriptions/xxxxxxxx-xxxx-xxxx-xxxx-xxxxxc661a03/resourcegroups/rg-spoke-tpa-prd-imkltpplo5qyg/providers/microsoft.network/virtualnetworks/vnet-spoke-tpa-prd</t>
        </is>
      </c>
      <c r="I19" s="3" t="inlineStr">
        <is>
          <t>f67fb4ed-d481-44d7-91e5-efadf504f74a</t>
        </is>
      </c>
    </row>
    <row r="20" s="2" customFormat="1">
      <c r="A20" s="2" t="inlineStr">
        <is>
          <t>xxxxxxxx-xxxx-xxxx-xxxx-xxxxxc661a03</t>
        </is>
      </c>
      <c r="B20" s="2" t="inlineStr">
        <is>
          <t>dt-prd-tpa-oeqrq2jxadm36</t>
        </is>
      </c>
      <c r="C20" s="2" t="inlineStr">
        <is>
          <t>microsoft.keyvault/vaults</t>
        </is>
      </c>
      <c r="D20" s="2" t="inlineStr">
        <is>
          <t>kv-tpa-prod-ncus</t>
        </is>
      </c>
      <c r="E20" s="2" t="inlineStr">
        <is>
          <t>Performance</t>
        </is>
      </c>
      <c r="F20" s="2" t="inlineStr">
        <is>
          <t>Medium</t>
        </is>
      </c>
      <c r="G20" s="2" t="inlineStr">
        <is>
          <t>Upgrade the Azure Key Vault SDK to the latest version</t>
        </is>
      </c>
      <c r="H20" s="2" t="inlineStr">
        <is>
          <t>/subscriptions/xxxxxxxx-xxxx-xxxx-xxxx-xxxxxc661a03/resourcegroups/rg-spoke-tpa-prd-imkltpplo5qyg/providers/microsoft.keyvault/vaults/kv-tpa-prod-ncus</t>
        </is>
      </c>
      <c r="I20" s="2" t="inlineStr">
        <is>
          <t>9017e82f-b7ac-4a06-8b9b-5858cb3d5113</t>
        </is>
      </c>
    </row>
    <row r="21" s="3" customFormat="1">
      <c r="A21" s="3" t="inlineStr">
        <is>
          <t>xxxxxxxx-xxxx-xxxx-xxxx-xxxxxc661a03</t>
        </is>
      </c>
      <c r="B21" s="3" t="inlineStr">
        <is>
          <t>dt-prd-tpa-oeqrq2jxadm36</t>
        </is>
      </c>
      <c r="C21" s="3" t="inlineStr">
        <is>
          <t>microsoft.keyvault/vaults</t>
        </is>
      </c>
      <c r="D21" s="3" t="inlineStr">
        <is>
          <t>kv-tpa-prod-ncus</t>
        </is>
      </c>
      <c r="E21" s="3" t="inlineStr">
        <is>
          <t>Security</t>
        </is>
      </c>
      <c r="F21" s="3" t="inlineStr">
        <is>
          <t>High</t>
        </is>
      </c>
      <c r="G21" s="3" t="inlineStr">
        <is>
          <t>Key Vault secrets should have an expiration date</t>
        </is>
      </c>
      <c r="H21" s="3" t="inlineStr">
        <is>
          <t>/subscriptions/xxxxxxxx-xxxx-xxxx-xxxx-xxxxxc661a03/resourcegroups/rg-spoke-tpa-prd-imkltpplo5qyg/providers/microsoft.keyvault/vaults/kv-tpa-prod-ncus</t>
        </is>
      </c>
      <c r="I21" s="3" t="inlineStr">
        <is>
          <t>14257785-9437-97fa-11ae-898cfb24302b</t>
        </is>
      </c>
    </row>
    <row r="22" s="2" customFormat="1">
      <c r="A22" s="2" t="inlineStr">
        <is>
          <t>xxxxxxxx-xxxx-xxxx-xxxx-xxxxxc661a03</t>
        </is>
      </c>
      <c r="B22" s="2" t="inlineStr">
        <is>
          <t>dt-prd-tpa-oeqrq2jxadm36</t>
        </is>
      </c>
      <c r="C22" s="2" t="inlineStr">
        <is>
          <t>microsoft.cdn/profiles</t>
        </is>
      </c>
      <c r="D22" s="2" t="inlineStr">
        <is>
          <t>az-fd-prod</t>
        </is>
      </c>
      <c r="E22" s="2" t="inlineStr">
        <is>
          <t>HighAvailability</t>
        </is>
      </c>
      <c r="F22" s="2" t="inlineStr">
        <is>
          <t>High</t>
        </is>
      </c>
      <c r="G22" s="2" t="inlineStr">
        <is>
          <t>Consider having at least two origins</t>
        </is>
      </c>
      <c r="H22" s="2" t="inlineStr">
        <is>
          <t>/subscriptions/xxxxxxxx-xxxx-xxxx-xxxx-xxxxxc661a03/resourcegroups/rg-spoke-tpa-prd-imkltpplo5qyg/providers/microsoft.cdn/profiles/az-fd-prod</t>
        </is>
      </c>
      <c r="I22" s="2" t="inlineStr">
        <is>
          <t>589ab0b0-1362-44fd-8551-0e7847767600</t>
        </is>
      </c>
    </row>
    <row r="23" s="3" customFormat="1">
      <c r="A23" s="3" t="inlineStr">
        <is>
          <t>xxxxxxxx-xxxx-xxxx-xxxx-xxxxxc661a03</t>
        </is>
      </c>
      <c r="B23" s="3" t="inlineStr">
        <is>
          <t>dt-prd-tpa-oeqrq2jxadm36</t>
        </is>
      </c>
      <c r="C23" s="3" t="inlineStr">
        <is>
          <t>microsoft.storage/storageaccounts</t>
        </is>
      </c>
      <c r="D23" s="3" t="inlineStr">
        <is>
          <t>sttpaprodfwubq55usdsyk</t>
        </is>
      </c>
      <c r="E23" s="3" t="inlineStr">
        <is>
          <t>HighAvailability</t>
        </is>
      </c>
      <c r="F23" s="3" t="inlineStr">
        <is>
          <t>High</t>
        </is>
      </c>
      <c r="G23" s="3" t="inlineStr">
        <is>
          <t>Enable zone redundancy for storage accounts to improve high availability and resiliency</t>
        </is>
      </c>
      <c r="H23" s="3" t="inlineStr">
        <is>
          <t>/subscriptions/xxxxxxxx-xxxx-xxxx-xxxx-xxxxxc661a03/resourcegroups/rg-spoke-tpa-prd-imkltpplo5qyg/providers/microsoft.storage/storageaccounts/sttpaprodfwubq55usdsyk</t>
        </is>
      </c>
      <c r="I23" s="3" t="inlineStr">
        <is>
          <t>4c10f447-fc3d-48b5-931d-23cea8486023</t>
        </is>
      </c>
    </row>
    <row r="24" s="2" customFormat="1">
      <c r="A24" s="2" t="inlineStr">
        <is>
          <t>xxxxxxxx-xxxx-xxxx-xxxx-xxxxxc661a03</t>
        </is>
      </c>
      <c r="B24" s="2" t="inlineStr">
        <is>
          <t>dt-prd-tpa-oeqrq2jxadm36</t>
        </is>
      </c>
      <c r="C24" s="2" t="inlineStr">
        <is>
          <t>microsoft.sql/servers</t>
        </is>
      </c>
      <c r="D24" s="2" t="inlineStr">
        <is>
          <t>db-config</t>
        </is>
      </c>
      <c r="E24" s="2" t="inlineStr">
        <is>
          <t>Security</t>
        </is>
      </c>
      <c r="F24" s="2" t="inlineStr">
        <is>
          <t>Low</t>
        </is>
      </c>
      <c r="G24" s="2" t="inlineStr">
        <is>
          <t>Minimal set of principals should be members of fixed low impact database roles in SQL databases</t>
        </is>
      </c>
      <c r="H24" s="2" t="inlineStr">
        <is>
          <t>/subscriptions/xxxxxxxx-xxxx-xxxx-xxxx-xxxxxc661a03/resourcegroups/rg-spoke-tpa-prd-imkltpplo5qyg/providers/microsoft.sql/servers/sql-prod-fwubq55usdsyk/databases/db-config</t>
        </is>
      </c>
      <c r="I24" s="2" t="inlineStr">
        <is>
          <t>267df805-7fa4-415f-8b2e-08deefdb5e1b</t>
        </is>
      </c>
    </row>
    <row r="25" s="3" customFormat="1">
      <c r="A25" s="3" t="inlineStr">
        <is>
          <t>xxxxxxxx-xxxx-xxxx-xxxx-xxxxxc661a03</t>
        </is>
      </c>
      <c r="B25" s="3" t="inlineStr">
        <is>
          <t>dt-prd-tpa-oeqrq2jxadm36</t>
        </is>
      </c>
      <c r="C25" s="3" t="inlineStr">
        <is>
          <t>microsoft.keyvault/vaults</t>
        </is>
      </c>
      <c r="D25" s="3" t="inlineStr">
        <is>
          <t>kv-tpa-prod-ncus</t>
        </is>
      </c>
      <c r="E25" s="3" t="inlineStr">
        <is>
          <t>HighAvailability</t>
        </is>
      </c>
      <c r="F25" s="3" t="inlineStr">
        <is>
          <t>High</t>
        </is>
      </c>
      <c r="G25" s="3" t="inlineStr">
        <is>
          <t>Azure Key Vault API versions prior to 2026-02-01 are being retired</t>
        </is>
      </c>
      <c r="H25" s="3" t="inlineStr">
        <is>
          <t>/subscriptions/xxxxxxxx-xxxx-xxxx-xxxx-xxxxxc661a03/resourcegroups/rg-spoke-tpa-prd-imkltpplo5qyg/providers/microsoft.keyvault/vaults/kv-tpa-prod-ncus</t>
        </is>
      </c>
      <c r="I25" s="3" t="inlineStr">
        <is>
          <t>7ff06874-39e9-41be-9552-fa1ae2a83c88</t>
        </is>
      </c>
    </row>
  </sheetData>
  <autoFilter ref="$A$4:$I$25"/>
  <drawing xmlns:relationships="http://schemas.openxmlformats.org/officeDocument/2006/relationships" relationships:id="rId1"/>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4" max="4" width="11" customWidth="1"/>
    <col min="3" max="3" width="32" customWidth="1"/>
    <col min="2" max="2" width="27" customWidth="1"/>
    <col min="1" max="1" width="39" customWidth="1"/>
  </cols>
  <sheetData>
    <row r="4" s="1" customFormat="1">
      <c r="A4" s="1" t="inlineStr">
        <is>
          <t>Subscription Id</t>
        </is>
      </c>
      <c r="B4" s="1" t="inlineStr">
        <is>
          <t>Subscription Name</t>
        </is>
      </c>
      <c r="C4" s="1" t="inlineStr">
        <is>
          <t>Name</t>
        </is>
      </c>
      <c r="D4" s="1" t="inlineStr">
        <is>
          <t>Tier</t>
        </is>
      </c>
    </row>
    <row r="5" s="3" customFormat="1">
      <c r="A5" s="3" t="inlineStr">
        <is>
          <t>xxxxxxxx-xxxx-xxxx-xxxx-xxxxxc661a03</t>
        </is>
      </c>
      <c r="B5" s="3" t="inlineStr">
        <is>
          <t>dt-prd-tpa-oeqrq2jxadm36</t>
        </is>
      </c>
      <c r="C5" s="3" t="inlineStr">
        <is>
          <t>KubernetesService</t>
        </is>
      </c>
      <c r="D5" s="3" t="inlineStr">
        <is>
          <t>Free</t>
        </is>
      </c>
    </row>
    <row r="6" s="2" customFormat="1">
      <c r="A6" s="2" t="inlineStr">
        <is>
          <t>xxxxxxxx-xxxx-xxxx-xxxx-xxxxxc661a03</t>
        </is>
      </c>
      <c r="B6" s="2" t="inlineStr">
        <is>
          <t>dt-prd-tpa-oeqrq2jxadm36</t>
        </is>
      </c>
      <c r="C6" s="2" t="inlineStr">
        <is>
          <t>CloudPosture</t>
        </is>
      </c>
      <c r="D6" s="2" t="inlineStr">
        <is>
          <t>Free</t>
        </is>
      </c>
    </row>
    <row r="7" s="3" customFormat="1">
      <c r="A7" s="3" t="inlineStr">
        <is>
          <t>xxxxxxxx-xxxx-xxxx-xxxx-xxxxxc661a03</t>
        </is>
      </c>
      <c r="B7" s="3" t="inlineStr">
        <is>
          <t>dt-prd-tpa-oeqrq2jxadm36</t>
        </is>
      </c>
      <c r="C7" s="3" t="inlineStr">
        <is>
          <t>StorageAccounts</t>
        </is>
      </c>
      <c r="D7" s="3" t="inlineStr">
        <is>
          <t>Standard</t>
        </is>
      </c>
    </row>
    <row r="8" s="2" customFormat="1">
      <c r="A8" s="2" t="inlineStr">
        <is>
          <t>xxxxxxxx-xxxx-xxxx-xxxx-xxxxxc661a03</t>
        </is>
      </c>
      <c r="B8" s="2" t="inlineStr">
        <is>
          <t>dt-prd-tpa-oeqrq2jxadm36</t>
        </is>
      </c>
      <c r="C8" s="2" t="inlineStr">
        <is>
          <t>Dns</t>
        </is>
      </c>
      <c r="D8" s="2" t="inlineStr">
        <is>
          <t>Standard</t>
        </is>
      </c>
    </row>
    <row r="9" s="3" customFormat="1">
      <c r="A9" s="3" t="inlineStr">
        <is>
          <t>xxxxxxxx-xxxx-xxxx-xxxx-xxxxxc661a03</t>
        </is>
      </c>
      <c r="B9" s="3" t="inlineStr">
        <is>
          <t>dt-prd-tpa-oeqrq2jxadm36</t>
        </is>
      </c>
      <c r="C9" s="3" t="inlineStr">
        <is>
          <t>KeyVaults</t>
        </is>
      </c>
      <c r="D9" s="3" t="inlineStr">
        <is>
          <t>Standard</t>
        </is>
      </c>
    </row>
    <row r="10" s="2" customFormat="1">
      <c r="A10" s="2" t="inlineStr">
        <is>
          <t>xxxxxxxx-xxxx-xxxx-xxxx-xxxxxc661a03</t>
        </is>
      </c>
      <c r="B10" s="2" t="inlineStr">
        <is>
          <t>dt-prd-tpa-oeqrq2jxadm36</t>
        </is>
      </c>
      <c r="C10" s="2" t="inlineStr">
        <is>
          <t>ContainerRegistry</t>
        </is>
      </c>
      <c r="D10" s="2" t="inlineStr">
        <is>
          <t>Free</t>
        </is>
      </c>
    </row>
    <row r="11" s="3" customFormat="1">
      <c r="A11" s="3" t="inlineStr">
        <is>
          <t>xxxxxxxx-xxxx-xxxx-xxxx-xxxxxc661a03</t>
        </is>
      </c>
      <c r="B11" s="3" t="inlineStr">
        <is>
          <t>dt-prd-tpa-oeqrq2jxadm36</t>
        </is>
      </c>
      <c r="C11" s="3" t="inlineStr">
        <is>
          <t>CosmosDbs</t>
        </is>
      </c>
      <c r="D11" s="3" t="inlineStr">
        <is>
          <t>Standard</t>
        </is>
      </c>
    </row>
    <row r="12" s="2" customFormat="1">
      <c r="A12" s="2" t="inlineStr">
        <is>
          <t>xxxxxxxx-xxxx-xxxx-xxxx-xxxxxc661a03</t>
        </is>
      </c>
      <c r="B12" s="2" t="inlineStr">
        <is>
          <t>dt-prd-tpa-oeqrq2jxadm36</t>
        </is>
      </c>
      <c r="C12" s="2" t="inlineStr">
        <is>
          <t>Api</t>
        </is>
      </c>
      <c r="D12" s="2" t="inlineStr">
        <is>
          <t>Free</t>
        </is>
      </c>
    </row>
    <row r="13" s="3" customFormat="1">
      <c r="A13" s="3" t="inlineStr">
        <is>
          <t>xxxxxxxx-xxxx-xxxx-xxxx-xxxxxc661a03</t>
        </is>
      </c>
      <c r="B13" s="3" t="inlineStr">
        <is>
          <t>dt-prd-tpa-oeqrq2jxadm36</t>
        </is>
      </c>
      <c r="C13" s="3" t="inlineStr">
        <is>
          <t>AI</t>
        </is>
      </c>
      <c r="D13" s="3" t="inlineStr">
        <is>
          <t>Free</t>
        </is>
      </c>
    </row>
    <row r="14" s="2" customFormat="1">
      <c r="A14" s="2" t="inlineStr">
        <is>
          <t>xxxxxxxx-xxxx-xxxx-xxxx-xxxxxc661a03</t>
        </is>
      </c>
      <c r="B14" s="2" t="inlineStr">
        <is>
          <t>dt-prd-tpa-oeqrq2jxadm36</t>
        </is>
      </c>
      <c r="C14" s="2" t="inlineStr">
        <is>
          <t>Discovery</t>
        </is>
      </c>
      <c r="D14" s="2" t="inlineStr">
        <is>
          <t>Standard</t>
        </is>
      </c>
    </row>
    <row r="15" s="3" customFormat="1">
      <c r="A15" s="3" t="inlineStr">
        <is>
          <t>xxxxxxxx-xxxx-xxxx-xxxx-xxxxxc661a03</t>
        </is>
      </c>
      <c r="B15" s="3" t="inlineStr">
        <is>
          <t>dt-prd-tpa-oeqrq2jxadm36</t>
        </is>
      </c>
      <c r="C15" s="3" t="inlineStr">
        <is>
          <t>FoundationalCspm</t>
        </is>
      </c>
      <c r="D15" s="3" t="inlineStr">
        <is>
          <t>Standard</t>
        </is>
      </c>
    </row>
    <row r="16" s="2" customFormat="1">
      <c r="A16" s="2" t="inlineStr">
        <is>
          <t>xxxxxxxx-xxxx-xxxx-xxxx-xxxxxc661a03</t>
        </is>
      </c>
      <c r="B16" s="2" t="inlineStr">
        <is>
          <t>dt-prd-tpa-oeqrq2jxadm36</t>
        </is>
      </c>
      <c r="C16" s="2" t="inlineStr">
        <is>
          <t>OpenSourceRelationalDatabases</t>
        </is>
      </c>
      <c r="D16" s="2" t="inlineStr">
        <is>
          <t>Standard</t>
        </is>
      </c>
    </row>
    <row r="17" s="3" customFormat="1">
      <c r="A17" s="3" t="inlineStr">
        <is>
          <t>xxxxxxxx-xxxx-xxxx-xxxx-xxxxxc661a03</t>
        </is>
      </c>
      <c r="B17" s="3" t="inlineStr">
        <is>
          <t>dt-prd-tpa-oeqrq2jxadm36</t>
        </is>
      </c>
      <c r="C17" s="3" t="inlineStr">
        <is>
          <t>SqlServerVirtualMachines</t>
        </is>
      </c>
      <c r="D17" s="3" t="inlineStr">
        <is>
          <t>Standard</t>
        </is>
      </c>
    </row>
    <row r="18" s="2" customFormat="1">
      <c r="A18" s="2" t="inlineStr">
        <is>
          <t>xxxxxxxx-xxxx-xxxx-xxxx-xxxxxc661a03</t>
        </is>
      </c>
      <c r="B18" s="2" t="inlineStr">
        <is>
          <t>dt-prd-tpa-oeqrq2jxadm36</t>
        </is>
      </c>
      <c r="C18" s="2" t="inlineStr">
        <is>
          <t>VirtualMachines</t>
        </is>
      </c>
      <c r="D18" s="2" t="inlineStr">
        <is>
          <t>Standard</t>
        </is>
      </c>
    </row>
    <row r="19" s="3" customFormat="1">
      <c r="A19" s="3" t="inlineStr">
        <is>
          <t>xxxxxxxx-xxxx-xxxx-xxxx-xxxxxc661a03</t>
        </is>
      </c>
      <c r="B19" s="3" t="inlineStr">
        <is>
          <t>dt-prd-tpa-oeqrq2jxadm36</t>
        </is>
      </c>
      <c r="C19" s="3" t="inlineStr">
        <is>
          <t>SqlServers</t>
        </is>
      </c>
      <c r="D19" s="3" t="inlineStr">
        <is>
          <t>Standard</t>
        </is>
      </c>
    </row>
    <row r="20" s="2" customFormat="1">
      <c r="A20" s="2" t="inlineStr">
        <is>
          <t>xxxxxxxx-xxxx-xxxx-xxxx-xxxxxc661a03</t>
        </is>
      </c>
      <c r="B20" s="2" t="inlineStr">
        <is>
          <t>dt-prd-tpa-oeqrq2jxadm36</t>
        </is>
      </c>
      <c r="C20" s="2" t="inlineStr">
        <is>
          <t>AppServices</t>
        </is>
      </c>
      <c r="D20" s="2" t="inlineStr">
        <is>
          <t>Standard</t>
        </is>
      </c>
    </row>
    <row r="21" s="3" customFormat="1">
      <c r="A21" s="3" t="inlineStr">
        <is>
          <t>xxxxxxxx-xxxx-xxxx-xxxx-xxxxxc661a03</t>
        </is>
      </c>
      <c r="B21" s="3" t="inlineStr">
        <is>
          <t>dt-prd-tpa-oeqrq2jxadm36</t>
        </is>
      </c>
      <c r="C21" s="3" t="inlineStr">
        <is>
          <t>Arm</t>
        </is>
      </c>
      <c r="D21" s="3" t="inlineStr">
        <is>
          <t>Standard</t>
        </is>
      </c>
    </row>
    <row r="22" s="2" customFormat="1">
      <c r="A22" s="2" t="inlineStr">
        <is>
          <t>xxxxxxxx-xxxx-xxxx-xxxx-xxxxxc661a03</t>
        </is>
      </c>
      <c r="B22" s="2" t="inlineStr">
        <is>
          <t>dt-prd-tpa-oeqrq2jxadm36</t>
        </is>
      </c>
      <c r="C22" s="2" t="inlineStr">
        <is>
          <t>Containers</t>
        </is>
      </c>
      <c r="D22" s="2" t="inlineStr">
        <is>
          <t>Standard</t>
        </is>
      </c>
    </row>
  </sheetData>
  <autoFilter ref="$A$4:$D$22"/>
  <drawing xmlns:relationships="http://schemas.openxmlformats.org/officeDocument/2006/relationships" relationships:id="rId1"/>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1" max="11" width="120" customWidth="1"/>
    <col min="10" max="10" width="8" customWidth="1"/>
    <col min="9" max="9" width="8" customWidth="1"/>
    <col min="8" max="8" width="11" customWidth="1"/>
    <col min="7" max="7" width="11" customWidth="1"/>
    <col min="6" max="6" width="11" customWidth="1"/>
    <col min="5" max="5" width="39" customWidth="1"/>
    <col min="4" max="4" width="51" customWidth="1"/>
    <col min="3" max="3" width="17" customWidth="1"/>
    <col min="2" max="2" width="33" customWidth="1"/>
    <col min="1" max="1" width="39" customWidth="1"/>
  </cols>
  <sheetData>
    <row r="4" s="1" customFormat="1">
      <c r="A4" s="1" t="inlineStr">
        <is>
          <t>Subscription Id</t>
        </is>
      </c>
      <c r="B4" s="1" t="inlineStr">
        <is>
          <t>Resource Group</t>
        </is>
      </c>
      <c r="C4" s="1" t="inlineStr">
        <is>
          <t>Location</t>
        </is>
      </c>
      <c r="D4" s="1" t="inlineStr">
        <is>
          <t>Resource Type</t>
        </is>
      </c>
      <c r="E4" s="1" t="inlineStr">
        <is>
          <t>Resource Name</t>
        </is>
      </c>
      <c r="F4" s="1" t="inlineStr">
        <is>
          <t>Sku Name</t>
        </is>
      </c>
      <c r="G4" s="1" t="inlineStr">
        <is>
          <t>Sku Tier</t>
        </is>
      </c>
      <c r="H4" s="1" t="inlineStr">
        <is>
          <t>Capacity</t>
        </is>
      </c>
      <c r="I4" s="1" t="inlineStr">
        <is>
          <t>Kind</t>
        </is>
      </c>
      <c r="J4" s="1" t="inlineStr">
        <is>
          <t>SLA</t>
        </is>
      </c>
      <c r="K4" s="1" t="inlineStr">
        <is>
          <t>Resource Id</t>
        </is>
      </c>
    </row>
    <row r="5" s="3" customFormat="1">
      <c r="A5" s="3" t="inlineStr">
        <is>
          <t>xxxxxxxx-xxxx-xxxx-xxxx-xxxxxc661a03</t>
        </is>
      </c>
      <c r="B5" s="3" t="inlineStr">
        <is>
          <t>rg-spoke-tpa-prd-imkltpplo5qyg</t>
        </is>
      </c>
      <c r="C5" s="3" t="inlineStr">
        <is>
          <t>global</t>
        </is>
      </c>
      <c r="D5" s="3" t="inlineStr">
        <is>
          <t>microsoft.insights/actiongroups</t>
        </is>
      </c>
      <c r="E5" s="3" t="inlineStr">
        <is>
          <t>ag-monitor</t>
        </is>
      </c>
      <c r="F5" s="3" t="inlineStr">
        <is>
          <t/>
        </is>
      </c>
      <c r="G5" s="3" t="inlineStr">
        <is>
          <t/>
        </is>
      </c>
      <c r="H5" s="3" t="inlineStr">
        <is>
          <t/>
        </is>
      </c>
      <c r="I5" s="3" t="inlineStr">
        <is>
          <t/>
        </is>
      </c>
      <c r="J5" s="3" t="inlineStr">
        <is>
          <t/>
        </is>
      </c>
      <c r="K5" s="3" t="inlineStr">
        <is>
          <t>/subscriptions/xxxxxxxx-xxxx-xxxx-xxxx-xxxxxc661a03/resourceGroups/rg-spoke-tpa-prd-imkltpplo5qyg/providers/Microsoft.Insights/actiongroups/ag-monitor</t>
        </is>
      </c>
    </row>
    <row r="6" s="2" customFormat="1">
      <c r="A6" s="2" t="inlineStr">
        <is>
          <t>xxxxxxxx-xxxx-xxxx-xxxx-xxxxxc661a03</t>
        </is>
      </c>
      <c r="B6" s="2" t="inlineStr">
        <is>
          <t>rg-spoke-tpa-prd-imkltpplo5qyg</t>
        </is>
      </c>
      <c r="C6" s="2" t="inlineStr">
        <is>
          <t>global</t>
        </is>
      </c>
      <c r="D6" s="2" t="inlineStr">
        <is>
          <t>microsoft.insights/metricalerts</t>
        </is>
      </c>
      <c r="E6" s="2" t="inlineStr">
        <is>
          <t>alert-cpu-time-backend</t>
        </is>
      </c>
      <c r="F6" s="2" t="inlineStr">
        <is>
          <t/>
        </is>
      </c>
      <c r="G6" s="2" t="inlineStr">
        <is>
          <t/>
        </is>
      </c>
      <c r="H6" s="2" t="inlineStr">
        <is>
          <t/>
        </is>
      </c>
      <c r="I6" s="2" t="inlineStr">
        <is>
          <t/>
        </is>
      </c>
      <c r="J6" s="2" t="inlineStr">
        <is>
          <t/>
        </is>
      </c>
      <c r="K6" s="2" t="inlineStr">
        <is>
          <t>/subscriptions/xxxxxxxx-xxxx-xxxx-xxxx-xxxxxc661a03/resourceGroups/rg-spoke-tpa-prd-imkltpplo5qyg/providers/Microsoft.Insights/metricalerts/alert-cpu-time-backend</t>
        </is>
      </c>
    </row>
    <row r="7" s="3" customFormat="1">
      <c r="A7" s="3" t="inlineStr">
        <is>
          <t>xxxxxxxx-xxxx-xxxx-xxxx-xxxxxc661a03</t>
        </is>
      </c>
      <c r="B7" s="3" t="inlineStr">
        <is>
          <t>rg-spoke-tpa-prd-imkltpplo5qyg</t>
        </is>
      </c>
      <c r="C7" s="3" t="inlineStr">
        <is>
          <t>global</t>
        </is>
      </c>
      <c r="D7" s="3" t="inlineStr">
        <is>
          <t>microsoft.insights/metricalerts</t>
        </is>
      </c>
      <c r="E7" s="3" t="inlineStr">
        <is>
          <t>alert-cpu-time-frontend</t>
        </is>
      </c>
      <c r="F7" s="3" t="inlineStr">
        <is>
          <t/>
        </is>
      </c>
      <c r="G7" s="3" t="inlineStr">
        <is>
          <t/>
        </is>
      </c>
      <c r="H7" s="3" t="inlineStr">
        <is>
          <t/>
        </is>
      </c>
      <c r="I7" s="3" t="inlineStr">
        <is>
          <t/>
        </is>
      </c>
      <c r="J7" s="3" t="inlineStr">
        <is>
          <t/>
        </is>
      </c>
      <c r="K7" s="3" t="inlineStr">
        <is>
          <t>/subscriptions/xxxxxxxx-xxxx-xxxx-xxxx-xxxxxc661a03/resourceGroups/rg-spoke-tpa-prd-imkltpplo5qyg/providers/Microsoft.Insights/metricalerts/alert-cpu-time-frontend</t>
        </is>
      </c>
    </row>
    <row r="8" s="2" customFormat="1">
      <c r="A8" s="2" t="inlineStr">
        <is>
          <t>xxxxxxxx-xxxx-xxxx-xxxx-xxxxxc661a03</t>
        </is>
      </c>
      <c r="B8" s="2" t="inlineStr">
        <is>
          <t>rg-spoke-tpa-prd-imkltpplo5qyg</t>
        </is>
      </c>
      <c r="C8" s="2" t="inlineStr">
        <is>
          <t>global</t>
        </is>
      </c>
      <c r="D8" s="2" t="inlineStr">
        <is>
          <t>microsoft.insights/metricalerts</t>
        </is>
      </c>
      <c r="E8" s="2" t="inlineStr">
        <is>
          <t>alert-response-time-backend</t>
        </is>
      </c>
      <c r="F8" s="2" t="inlineStr">
        <is>
          <t/>
        </is>
      </c>
      <c r="G8" s="2" t="inlineStr">
        <is>
          <t/>
        </is>
      </c>
      <c r="H8" s="2" t="inlineStr">
        <is>
          <t/>
        </is>
      </c>
      <c r="I8" s="2" t="inlineStr">
        <is>
          <t/>
        </is>
      </c>
      <c r="J8" s="2" t="inlineStr">
        <is>
          <t/>
        </is>
      </c>
      <c r="K8" s="2" t="inlineStr">
        <is>
          <t>/subscriptions/xxxxxxxx-xxxx-xxxx-xxxx-xxxxxc661a03/resourceGroups/rg-spoke-tpa-prd-imkltpplo5qyg/providers/Microsoft.Insights/metricalerts/alert-response-time-backend</t>
        </is>
      </c>
    </row>
    <row r="9" s="3" customFormat="1">
      <c r="A9" s="3" t="inlineStr">
        <is>
          <t>xxxxxxxx-xxxx-xxxx-xxxx-xxxxxc661a03</t>
        </is>
      </c>
      <c r="B9" s="3" t="inlineStr">
        <is>
          <t>rg-spoke-tpa-prd-imkltpplo5qyg</t>
        </is>
      </c>
      <c r="C9" s="3" t="inlineStr">
        <is>
          <t>global</t>
        </is>
      </c>
      <c r="D9" s="3" t="inlineStr">
        <is>
          <t>microsoft.insights/metricalerts</t>
        </is>
      </c>
      <c r="E9" s="3" t="inlineStr">
        <is>
          <t>alert-response-time-frontend</t>
        </is>
      </c>
      <c r="F9" s="3" t="inlineStr">
        <is>
          <t/>
        </is>
      </c>
      <c r="G9" s="3" t="inlineStr">
        <is>
          <t/>
        </is>
      </c>
      <c r="H9" s="3" t="inlineStr">
        <is>
          <t/>
        </is>
      </c>
      <c r="I9" s="3" t="inlineStr">
        <is>
          <t/>
        </is>
      </c>
      <c r="J9" s="3" t="inlineStr">
        <is>
          <t/>
        </is>
      </c>
      <c r="K9" s="3" t="inlineStr">
        <is>
          <t>/subscriptions/xxxxxxxx-xxxx-xxxx-xxxx-xxxxxc661a03/resourceGroups/rg-spoke-tpa-prd-imkltpplo5qyg/providers/Microsoft.Insights/metricalerts/alert-response-time-frontend</t>
        </is>
      </c>
    </row>
    <row r="10" s="2" customFormat="1">
      <c r="A10" s="2" t="inlineStr">
        <is>
          <t>xxxxxxxx-xxxx-xxxx-xxxx-xxxxxc661a03</t>
        </is>
      </c>
      <c r="B10" s="2" t="inlineStr">
        <is>
          <t>rg-spoke-tpa-prd-imkltpplo5qyg</t>
        </is>
      </c>
      <c r="C10" s="2" t="inlineStr">
        <is>
          <t>northcentralus</t>
        </is>
      </c>
      <c r="D10" s="2" t="inlineStr">
        <is>
          <t>microsoft.managedidentity/userassignedidentities</t>
        </is>
      </c>
      <c r="E10" s="2" t="inlineStr">
        <is>
          <t>id-prod</t>
        </is>
      </c>
      <c r="F10" s="2" t="inlineStr">
        <is>
          <t/>
        </is>
      </c>
      <c r="G10" s="2" t="inlineStr">
        <is>
          <t/>
        </is>
      </c>
      <c r="H10" s="2" t="inlineStr">
        <is>
          <t/>
        </is>
      </c>
      <c r="I10" s="2" t="inlineStr">
        <is>
          <t/>
        </is>
      </c>
      <c r="J10" s="2" t="inlineStr">
        <is>
          <t/>
        </is>
      </c>
      <c r="K10" s="2" t="inlineStr">
        <is>
          <t>/subscriptions/xxxxxxxx-xxxx-xxxx-xxxx-xxxxxc661a03/resourceGroups/rg-spoke-tpa-prd-imkltpplo5qyg/providers/Microsoft.ManagedIdentity/userAssignedIdentities/id-prod</t>
        </is>
      </c>
    </row>
    <row r="11" s="3" customFormat="1">
      <c r="A11" s="3" t="inlineStr">
        <is>
          <t>xxxxxxxx-xxxx-xxxx-xxxx-xxxxxc661a03</t>
        </is>
      </c>
      <c r="B11" s="3" t="inlineStr">
        <is>
          <t>rg-spoke-tpa-prd-imkltpplo5qyg</t>
        </is>
      </c>
      <c r="C11" s="3" t="inlineStr">
        <is>
          <t>global</t>
        </is>
      </c>
      <c r="D11" s="3" t="inlineStr">
        <is>
          <t>microsoft.insights/actiongroups</t>
        </is>
      </c>
      <c r="E11" s="3" t="inlineStr">
        <is>
          <t>Application Insights Smart Detection</t>
        </is>
      </c>
      <c r="F11" s="3" t="inlineStr">
        <is>
          <t/>
        </is>
      </c>
      <c r="G11" s="3" t="inlineStr">
        <is>
          <t/>
        </is>
      </c>
      <c r="H11" s="3" t="inlineStr">
        <is>
          <t/>
        </is>
      </c>
      <c r="I11" s="3" t="inlineStr">
        <is>
          <t/>
        </is>
      </c>
      <c r="J11" s="3" t="inlineStr">
        <is>
          <t/>
        </is>
      </c>
      <c r="K11" s="3" t="inlineStr">
        <is>
          <t>/subscriptions/xxxxxxxx-xxxx-xxxx-xxxx-xxxxxc661a03/resourceGroups/rg-spoke-tpa-prd-imkltpplo5qyg/providers/microsoft.insights/actiongroups/Application Insights Smart Detection</t>
        </is>
      </c>
    </row>
    <row r="12" s="2" customFormat="1">
      <c r="A12" s="2" t="inlineStr">
        <is>
          <t>xxxxxxxx-xxxx-xxxx-xxxx-xxxxxc661a03</t>
        </is>
      </c>
      <c r="B12" s="2" t="inlineStr">
        <is>
          <t>rg-asc-export-alz</t>
        </is>
      </c>
      <c r="C12" s="2" t="inlineStr">
        <is>
          <t>northcentralus</t>
        </is>
      </c>
      <c r="D12" s="2" t="inlineStr">
        <is>
          <t>microsoft.security/automations</t>
        </is>
      </c>
      <c r="E12" s="2" t="inlineStr">
        <is>
          <t>ExportToWorkspace</t>
        </is>
      </c>
      <c r="F12" s="2" t="inlineStr">
        <is>
          <t/>
        </is>
      </c>
      <c r="G12" s="2" t="inlineStr">
        <is>
          <t/>
        </is>
      </c>
      <c r="H12" s="2" t="inlineStr">
        <is>
          <t/>
        </is>
      </c>
      <c r="I12" s="2" t="inlineStr">
        <is>
          <t/>
        </is>
      </c>
      <c r="J12" s="2" t="inlineStr">
        <is>
          <t/>
        </is>
      </c>
      <c r="K12" s="2" t="inlineStr">
        <is>
          <t>/subscriptions/xxxxxxxx-xxxx-xxxx-xxxx-xxxxxc661a03/resourceGroups/rg-asc-export-alz/providers/Microsoft.Security/automations/ExportToWorkspace</t>
        </is>
      </c>
    </row>
  </sheetData>
  <autoFilter ref="$A$4:$K$12"/>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