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f6c0104d5241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801a35fc68c4de2"/>
    <x:sheet xmlns:r="http://schemas.openxmlformats.org/officeDocument/2006/relationships" name="Subscription Costs" sheetId="2" r:id="Rfc6b147f4cd14b15"/>
    <x:sheet xmlns:r="http://schemas.openxmlformats.org/officeDocument/2006/relationships" name="Monthly Summary" sheetId="3" r:id="R71e98d4ae0c54071"/>
    <x:sheet xmlns:r="http://schemas.openxmlformats.org/officeDocument/2006/relationships" name="Sources &amp; Checks" sheetId="4" r:id="Rfdbf08b289d348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m yyyy"/>
    <x:numFmt numFmtId="201" formatCode="&quot;$&quot;#,##0.0000;[Red](&quot;$&quot;#,##0.0000);-"/>
    <x:numFmt numFmtId="202" formatCode="&quot;$&quot;#,##0.00;[Red](&quot;$&quot;#,##0.00);-"/>
    <x:numFmt numFmtId="203" formatCode="0.0%;[Red](0.0%);-"/>
    <x:numFmt numFmtId="204" formatCode="yyyy-mm-dd hh:mm"/>
  </x:numFmts>
  <x:fonts count="9">
    <x:font>
      <x:sz val="11"/>
      <x:name val="Carlito"/>
    </x:font>
    <x:font>
      <x:b/>
      <x:sz val="20"/>
      <x:color rgb="FFFFFFFF"/>
      <x:name val="Carlito"/>
    </x:font>
    <x:font>
      <x:sz val="10"/>
      <x:color rgb="FF5F6B7A"/>
      <x:name val="Carlito"/>
    </x:font>
    <x:font>
      <x:b/>
      <x:sz val="11"/>
      <x:color rgb="FFFFFFFF"/>
      <x:name val="Carlito"/>
    </x:font>
    <x:font>
      <x:sz val="11"/>
      <x:color rgb="FF1F2328"/>
      <x:name val="Carlito"/>
    </x:font>
    <x:font>
      <x:b/>
      <x:sz val="11"/>
      <x:color rgb="FF123B5D"/>
      <x:name val="Carlito"/>
    </x:font>
    <x:font>
      <x:b/>
      <x:sz val="18"/>
      <x:color rgb="FF123B5D"/>
      <x:name val="Carlito"/>
    </x:font>
    <x:font>
      <x:i/>
      <x:sz val="9"/>
      <x:color rgb="FF5F6B7A"/>
      <x:name val="Carlito"/>
    </x:font>
    <x:font>
      <x:b/>
      <x:sz val="18"/>
      <x:color rgb="FF107C1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EAF4FB"/>
      </x:patternFill>
    </x:fill>
    <x:fill>
      <x:patternFill patternType="solid">
        <x:fgColor rgb="FF0078D4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E8F5E9"/>
      </x:patternFill>
    </x:fill>
  </x:fills>
  <x:borders count="17">
    <x:border/>
    <x:border>
      <x:left style="thin">
        <x:color rgb="FF123B5D"/>
      </x:left>
      <x:top style="thin">
        <x:color rgb="FF123B5D"/>
      </x:top>
      <x:bottom style="thin">
        <x:color rgb="FF123B5D"/>
      </x:bottom>
    </x:border>
    <x:border>
      <x:top style="thin">
        <x:color rgb="FF123B5D"/>
      </x:top>
      <x:bottom style="thin">
        <x:color rgb="FF123B5D"/>
      </x:bottom>
    </x:border>
    <x:border>
      <x:right style="thin">
        <x:color rgb="FF123B5D"/>
      </x:right>
      <x:top style="thin">
        <x:color rgb="FF123B5D"/>
      </x:top>
      <x:bottom style="thin">
        <x:color rgb="FF123B5D"/>
      </x:bottom>
    </x:border>
    <x:border>
      <x:bottom style="double">
        <x:color rgb="FF123B5D"/>
      </x:bottom>
    </x:border>
    <x:border>
      <x:left style="thin">
        <x:color rgb="FF123B5D"/>
      </x:left>
      <x:top style="thin">
        <x:color rgb="FF123B5D"/>
      </x:top>
      <x:bottom style="thin">
        <x:color rgb="FFD0D7DE"/>
      </x:bottom>
    </x:border>
    <x:border>
      <x:top style="thin">
        <x:color rgb="FF123B5D"/>
      </x:top>
      <x:bottom style="thin">
        <x:color rgb="FFD0D7DE"/>
      </x:bottom>
    </x:border>
    <x:border>
      <x:left style="thin">
        <x:color rgb="FF123B5D"/>
      </x:left>
      <x:top style="thin">
        <x:color rgb="FFD0D7DE"/>
      </x:top>
      <x:bottom style="thin">
        <x:color rgb="FFD0D7DE"/>
      </x:bottom>
    </x:border>
    <x:border>
      <x:top style="thin">
        <x:color rgb="FFD0D7DE"/>
      </x:top>
      <x:bottom style="thin">
        <x:color rgb="FFD0D7DE"/>
      </x:bottom>
    </x:border>
    <x:border>
      <x:bottom style="thin">
        <x:color rgb="FFD0D7DE"/>
      </x:bottom>
    </x:border>
    <x:border>
      <x:left style="thin">
        <x:color rgb="FFD0D7DE"/>
      </x:left>
      <x:top style="thin">
        <x:color rgb="FFD0D7DE"/>
      </x:top>
      <x:bottom style="thin">
        <x:color rgb="FFD0D7DE"/>
      </x:bottom>
    </x:border>
    <x:border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D0D7DE"/>
      </x:left>
      <x:top style="thin">
        <x:color rgb="FFD0D7DE"/>
      </x:top>
    </x:border>
    <x:border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</x:borders>
  <x:cellStyleXfs count="1">
    <x:xf numFmtId="0" fontId="0" fillId="0" borderId="0"/>
  </x:cellStyleXfs>
  <x:cellXfs count="1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200" fontId="3" fillId="4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2" fontId="0" fillId="2" borderId="0" xfId="0" applyNumberFormat="1" applyFont="1" applyFill="1" applyBorder="1"/>
    <x:xf numFmtId="203" fontId="0" fillId="2" borderId="0" xfId="0" applyNumberFormat="1" applyFont="1" applyFill="1" applyBorder="1"/>
    <x:xf numFmtId="0" fontId="3" fillId="2" borderId="0" xfId="0" applyNumberFormat="1" applyFont="1" applyFill="1" applyBorder="1"/>
    <x:xf numFmtId="202" fontId="3" fillId="2" borderId="0" xfId="0" applyNumberFormat="1" applyFont="1" applyFill="1" applyBorder="1"/>
    <x:xf numFmtId="203" fontId="3" fillId="2" borderId="0" xfId="0" applyNumberFormat="1" applyFont="1" applyFill="1" applyBorder="1"/>
    <x:xf numFmtId="0" fontId="3" fillId="2" borderId="4" xfId="0" applyNumberFormat="1" applyFont="1" applyFill="1" applyBorder="1"/>
    <x:xf numFmtId="202" fontId="3" fillId="2" borderId="4" xfId="0" applyNumberFormat="1" applyFont="1" applyFill="1" applyBorder="1"/>
    <x:xf numFmtId="203" fontId="3" fillId="2" borderId="4" xfId="0" applyNumberFormat="1" applyFont="1" applyFill="1" applyBorder="1"/>
    <x:xf numFmtId="0" fontId="3" fillId="4" borderId="5" xfId="0" applyNumberFormat="1" applyFont="1" applyFill="1" applyBorder="1" applyAlignment="1">
      <x:alignment horizontal="center" vertical="center" wrapText="1"/>
    </x:xf>
    <x:xf numFmtId="200" fontId="3" fillId="4" borderId="6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200" fontId="0" fillId="0" borderId="0" xfId="0" applyNumberFormat="1" applyFont="1" applyFill="1" applyBorder="1"/>
    <x:xf numFmtId="200" fontId="0" fillId="0" borderId="9" xfId="0" applyNumberFormat="1" applyFont="1" applyFill="1" applyBorder="1"/>
    <x:xf numFmtId="202" fontId="0" fillId="0" borderId="9" xfId="0" applyNumberFormat="1" applyFont="1" applyFill="1" applyBorder="1"/>
    <x:xf numFmtId="203" fontId="0" fillId="0" borderId="9" xfId="0" applyNumberFormat="1" applyFont="1" applyFill="1" applyBorder="1"/>
    <x:xf numFmtId="0" fontId="0" fillId="0" borderId="9" xfId="0" applyNumberFormat="1" applyFont="1" applyFill="1" applyBorder="1"/>
    <x:xf numFmtId="200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0" xfId="0" applyNumberFormat="1" applyFont="1" applyFill="1" applyBorder="1"/>
    <x:xf numFmtId="0" fontId="5" fillId="5" borderId="8" xfId="0" applyNumberFormat="1" applyFont="1" applyFill="1" applyBorder="1"/>
    <x:xf numFmtId="0" fontId="5" fillId="5" borderId="11" xfId="0" applyNumberFormat="1" applyFont="1" applyFill="1" applyBorder="1"/>
    <x:xf numFmtId="0" fontId="5" fillId="5" borderId="10" xfId="0" applyNumberFormat="1" applyFont="1" applyFill="1" applyBorder="1" applyAlignment="1">
      <x:alignment horizontal="center"/>
    </x:xf>
    <x:xf numFmtId="0" fontId="5" fillId="5" borderId="8" xfId="0" applyNumberFormat="1" applyFont="1" applyFill="1" applyBorder="1" applyAlignment="1">
      <x:alignment horizontal="center"/>
    </x:xf>
    <x:xf numFmtId="0" fontId="5" fillId="5" borderId="11" xfId="0" applyNumberFormat="1" applyFont="1" applyFill="1" applyBorder="1" applyAlignment="1">
      <x:alignment horizontal="center"/>
    </x:xf>
    <x:xf numFmtId="0" fontId="5" fillId="5" borderId="10" xfId="0" applyNumberFormat="1" applyFont="1" applyFill="1" applyBorder="1" applyAlignment="1">
      <x:alignment horizontal="center" vertical="center"/>
    </x:xf>
    <x:xf numFmtId="0" fontId="5" fillId="5" borderId="8" xfId="0" applyNumberFormat="1" applyFont="1" applyFill="1" applyBorder="1" applyAlignment="1">
      <x:alignment horizontal="center" vertical="center"/>
    </x:xf>
    <x:xf numFmtId="0" fontId="5" fillId="5" borderId="1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2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/>
    <x:xf numFmtId="0" fontId="6" fillId="6" borderId="15" xfId="0" applyNumberFormat="1" applyFont="1" applyFill="1" applyBorder="1"/>
    <x:xf numFmtId="0" fontId="6" fillId="6" borderId="9" xfId="0" applyNumberFormat="1" applyFont="1" applyFill="1" applyBorder="1"/>
    <x:xf numFmtId="0" fontId="6" fillId="6" borderId="16" xfId="0" applyNumberFormat="1" applyFont="1" applyFill="1" applyBorder="1"/>
    <x:xf numFmtId="0" fontId="6" fillId="6" borderId="12" xfId="0" applyNumberFormat="1" applyFont="1" applyFill="1" applyBorder="1" applyAlignment="1">
      <x:alignment horizontal="center"/>
    </x:xf>
    <x:xf numFmtId="0" fontId="6" fillId="6" borderId="13" xfId="0" applyNumberFormat="1" applyFont="1" applyFill="1" applyBorder="1" applyAlignment="1">
      <x:alignment horizontal="center"/>
    </x:xf>
    <x:xf numFmtId="0" fontId="6" fillId="6" borderId="14" xfId="0" applyNumberFormat="1" applyFont="1" applyFill="1" applyBorder="1" applyAlignment="1">
      <x:alignment horizontal="center"/>
    </x:xf>
    <x:xf numFmtId="0" fontId="6" fillId="6" borderId="15" xfId="0" applyNumberFormat="1" applyFont="1" applyFill="1" applyBorder="1" applyAlignment="1">
      <x:alignment horizontal="center"/>
    </x:xf>
    <x:xf numFmtId="0" fontId="6" fillId="6" borderId="9" xfId="0" applyNumberFormat="1" applyFont="1" applyFill="1" applyBorder="1" applyAlignment="1">
      <x:alignment horizontal="center"/>
    </x:xf>
    <x:xf numFmtId="0" fontId="6" fillId="6" borderId="16" xfId="0" applyNumberFormat="1" applyFont="1" applyFill="1" applyBorder="1" applyAlignment="1">
      <x:alignment horizontal="center"/>
    </x:xf>
    <x:xf numFmtId="0" fontId="6" fillId="6" borderId="12" xfId="0" applyNumberFormat="1" applyFont="1" applyFill="1" applyBorder="1" applyAlignment="1">
      <x:alignment horizontal="center" vertical="center"/>
    </x:xf>
    <x:xf numFmtId="0" fontId="6" fillId="6" borderId="13" xfId="0" applyNumberFormat="1" applyFont="1" applyFill="1" applyBorder="1" applyAlignment="1">
      <x:alignment horizontal="center" vertical="center"/>
    </x:xf>
    <x:xf numFmtId="0" fontId="6" fillId="6" borderId="14" xfId="0" applyNumberFormat="1" applyFont="1" applyFill="1" applyBorder="1" applyAlignment="1">
      <x:alignment horizontal="center" vertical="center"/>
    </x:xf>
    <x:xf numFmtId="0" fontId="6" fillId="6" borderId="15" xfId="0" applyNumberFormat="1" applyFont="1" applyFill="1" applyBorder="1" applyAlignment="1">
      <x:alignment horizontal="center" vertical="center"/>
    </x:xf>
    <x:xf numFmtId="0" fontId="6" fillId="6" borderId="9" xfId="0" applyNumberFormat="1" applyFont="1" applyFill="1" applyBorder="1" applyAlignment="1">
      <x:alignment horizontal="center" vertical="center"/>
    </x:xf>
    <x:xf numFmtId="0" fontId="6" fillId="6" borderId="16" xfId="0" applyNumberFormat="1" applyFont="1" applyFill="1" applyBorder="1" applyAlignment="1">
      <x:alignment horizontal="center" vertical="center"/>
    </x:xf>
    <x:xf numFmtId="202" fontId="6" fillId="6" borderId="12" xfId="0" applyNumberFormat="1" applyFont="1" applyFill="1" applyBorder="1" applyAlignment="1">
      <x:alignment horizontal="center" vertical="center"/>
    </x:xf>
    <x:xf numFmtId="202" fontId="6" fillId="6" borderId="13" xfId="0" applyNumberFormat="1" applyFont="1" applyFill="1" applyBorder="1" applyAlignment="1">
      <x:alignment horizontal="center" vertical="center"/>
    </x:xf>
    <x:xf numFmtId="202" fontId="6" fillId="6" borderId="14" xfId="0" applyNumberFormat="1" applyFont="1" applyFill="1" applyBorder="1" applyAlignment="1">
      <x:alignment horizontal="center" vertical="center"/>
    </x:xf>
    <x:xf numFmtId="202" fontId="6" fillId="6" borderId="15" xfId="0" applyNumberFormat="1" applyFont="1" applyFill="1" applyBorder="1" applyAlignment="1">
      <x:alignment horizontal="center" vertical="center"/>
    </x:xf>
    <x:xf numFmtId="202" fontId="6" fillId="6" borderId="9" xfId="0" applyNumberFormat="1" applyFont="1" applyFill="1" applyBorder="1" applyAlignment="1">
      <x:alignment horizontal="center" vertical="center"/>
    </x:xf>
    <x:xf numFmtId="202" fontId="6" fillId="6" borderId="16" xfId="0" applyNumberFormat="1" applyFont="1" applyFill="1" applyBorder="1" applyAlignment="1">
      <x:alignment horizontal="center" vertical="center"/>
    </x:xf>
    <x:xf numFmtId="203" fontId="6" fillId="6" borderId="12" xfId="0" applyNumberFormat="1" applyFont="1" applyFill="1" applyBorder="1" applyAlignment="1">
      <x:alignment horizontal="center" vertical="center"/>
    </x:xf>
    <x:xf numFmtId="203" fontId="6" fillId="6" borderId="13" xfId="0" applyNumberFormat="1" applyFont="1" applyFill="1" applyBorder="1" applyAlignment="1">
      <x:alignment horizontal="center" vertical="center"/>
    </x:xf>
    <x:xf numFmtId="203" fontId="6" fillId="6" borderId="14" xfId="0" applyNumberFormat="1" applyFont="1" applyFill="1" applyBorder="1" applyAlignment="1">
      <x:alignment horizontal="center" vertical="center"/>
    </x:xf>
    <x:xf numFmtId="203" fontId="6" fillId="6" borderId="15" xfId="0" applyNumberFormat="1" applyFont="1" applyFill="1" applyBorder="1" applyAlignment="1">
      <x:alignment horizontal="center" vertical="center"/>
    </x:xf>
    <x:xf numFmtId="203" fontId="6" fillId="6" borderId="9" xfId="0" applyNumberFormat="1" applyFont="1" applyFill="1" applyBorder="1" applyAlignment="1">
      <x:alignment horizontal="center" vertical="center"/>
    </x:xf>
    <x:xf numFmtId="203" fontId="6" fillId="6" borderId="16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0" fillId="0" borderId="9" xfId="0" applyNumberFormat="1" applyFont="1" applyFill="1" applyBorder="1" applyAlignment="1">
      <x:alignment wrapText="0"/>
    </x:xf>
    <x:xf numFmtId="0" fontId="0" fillId="0" borderId="8" xfId="0" applyNumberFormat="1" applyFont="1" applyFill="1" applyBorder="1" applyAlignment="1">
      <x:alignment wrapText="0"/>
    </x:xf>
    <x:xf numFmtId="204" fontId="0" fillId="0" borderId="0" xfId="0" applyNumberFormat="1" applyFont="1" applyFill="1" applyBorder="1"/>
    <x:xf numFmtId="204" fontId="0" fillId="0" borderId="8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4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204" fontId="0" fillId="0" borderId="8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12" xfId="0" applyNumberFormat="1" applyFont="1" applyFill="1" applyBorder="1"/>
    <x:xf numFmtId="0" fontId="8" fillId="7" borderId="13" xfId="0" applyNumberFormat="1" applyFont="1" applyFill="1" applyBorder="1"/>
    <x:xf numFmtId="0" fontId="8" fillId="7" borderId="14" xfId="0" applyNumberFormat="1" applyFont="1" applyFill="1" applyBorder="1"/>
    <x:xf numFmtId="0" fontId="8" fillId="7" borderId="15" xfId="0" applyNumberFormat="1" applyFont="1" applyFill="1" applyBorder="1"/>
    <x:xf numFmtId="0" fontId="8" fillId="7" borderId="9" xfId="0" applyNumberFormat="1" applyFont="1" applyFill="1" applyBorder="1"/>
    <x:xf numFmtId="0" fontId="8" fillId="7" borderId="16" xfId="0" applyNumberFormat="1" applyFont="1" applyFill="1" applyBorder="1"/>
    <x:xf numFmtId="0" fontId="8" fillId="7" borderId="12" xfId="0" applyNumberFormat="1" applyFont="1" applyFill="1" applyBorder="1" applyAlignment="1">
      <x:alignment horizontal="center"/>
    </x:xf>
    <x:xf numFmtId="0" fontId="8" fillId="7" borderId="13" xfId="0" applyNumberFormat="1" applyFont="1" applyFill="1" applyBorder="1" applyAlignment="1">
      <x:alignment horizontal="center"/>
    </x:xf>
    <x:xf numFmtId="0" fontId="8" fillId="7" borderId="14" xfId="0" applyNumberFormat="1" applyFont="1" applyFill="1" applyBorder="1" applyAlignment="1">
      <x:alignment horizontal="center"/>
    </x:xf>
    <x:xf numFmtId="0" fontId="8" fillId="7" borderId="15" xfId="0" applyNumberFormat="1" applyFont="1" applyFill="1" applyBorder="1" applyAlignment="1">
      <x:alignment horizontal="center"/>
    </x:xf>
    <x:xf numFmtId="0" fontId="8" fillId="7" borderId="9" xfId="0" applyNumberFormat="1" applyFont="1" applyFill="1" applyBorder="1" applyAlignment="1">
      <x:alignment horizontal="center"/>
    </x:xf>
    <x:xf numFmtId="0" fontId="8" fillId="7" borderId="16" xfId="0" applyNumberFormat="1" applyFont="1" applyFill="1" applyBorder="1" applyAlignment="1">
      <x:alignment horizontal="center"/>
    </x:xf>
    <x:xf numFmtId="0" fontId="8" fillId="7" borderId="12" xfId="0" applyNumberFormat="1" applyFont="1" applyFill="1" applyBorder="1" applyAlignment="1">
      <x:alignment horizontal="center" vertical="center"/>
    </x:xf>
    <x:xf numFmtId="0" fontId="8" fillId="7" borderId="13" xfId="0" applyNumberFormat="1" applyFont="1" applyFill="1" applyBorder="1" applyAlignment="1">
      <x:alignment horizontal="center" vertical="center"/>
    </x:xf>
    <x:xf numFmtId="0" fontId="8" fillId="7" borderId="14" xfId="0" applyNumberFormat="1" applyFont="1" applyFill="1" applyBorder="1" applyAlignment="1">
      <x:alignment horizontal="center" vertical="center"/>
    </x:xf>
    <x:xf numFmtId="0" fontId="8" fillId="7" borderId="15" xfId="0" applyNumberFormat="1" applyFont="1" applyFill="1" applyBorder="1" applyAlignment="1">
      <x:alignment horizontal="center" vertical="center"/>
    </x:xf>
    <x:xf numFmtId="0" fontId="8" fillId="7" borderId="9" xfId="0" applyNumberFormat="1" applyFont="1" applyFill="1" applyBorder="1" applyAlignment="1">
      <x:alignment horizontal="center" vertical="center"/>
    </x:xf>
    <x:xf numFmtId="0" fontId="8" fillId="7" borderId="16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8">
    <x:dxf>
      <x:font>
        <x:color rgb="FF107C10"/>
      </x:font>
      <x:fill>
        <x:patternFill patternType="solid">
          <x:bgColor rgb="FFE8F5E9"/>
        </x:patternFill>
      </x:fill>
    </x:dxf>
    <x:dxf>
      <x:font>
        <x:color rgb="FFC50F1F"/>
      </x:font>
      <x:fill>
        <x:patternFill patternType="solid">
          <x:bgColor rgb="FFFDE7E9"/>
        </x:patternFill>
      </x:fill>
    </x:dxf>
    <x:dxf>
      <x:font>
        <x:color rgb="FF107C10"/>
      </x:font>
      <x:fill>
        <x:patternFill patternType="solid">
          <x:bgColor rgb="FFE8F5E9"/>
        </x:patternFill>
      </x:fill>
    </x:dxf>
    <x:dxf>
      <x:font>
        <x:color rgb="FFC50F1F"/>
      </x:font>
      <x:fill>
        <x:patternFill patternType="solid">
          <x:bgColor rgb="FFFDE7E9"/>
        </x:patternFill>
      </x:fill>
    </x:dxf>
    <x:dxf>
      <x:font>
        <x:color rgb="FF107C10"/>
      </x:font>
      <x:fill>
        <x:patternFill patternType="solid">
          <x:bgColor rgb="FFE8F5E9"/>
        </x:patternFill>
      </x:fill>
    </x:dxf>
    <x:dxf>
      <x:font>
        <x:color rgb="FFC50F1F"/>
      </x:font>
      <x:fill>
        <x:patternFill patternType="solid">
          <x:bgColor rgb="FFFDE7E9"/>
        </x:patternFill>
      </x:fill>
    </x:dxf>
    <x:dxf>
      <x:font>
        <x:b/>
        <x:color rgb="FF107C10"/>
      </x:font>
      <x:fill>
        <x:patternFill patternType="solid">
          <x:bgColor rgb="FFE8F5E9"/>
        </x:patternFill>
      </x:fill>
    </x:dxf>
    <x:dxf>
      <x:font>
        <x:b/>
        <x:color rgb="FFC50F1F"/>
      </x:font>
      <x:fill>
        <x:patternFill patternType="solid">
          <x:bgColor rgb="FFFDE7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c96ba43d244ce4" /><Relationship Type="http://schemas.openxmlformats.org/officeDocument/2006/relationships/theme" Target="/xl/theme/theme1.xml" Id="Rb05d7cfcf2734739" /><Relationship Type="http://schemas.openxmlformats.org/officeDocument/2006/relationships/sharedStrings" Target="/xl/sharedStrings.xml" Id="Rddbb0eb6eaca4cfa" /><Relationship Type="http://schemas.openxmlformats.org/officeDocument/2006/relationships/worksheet" Target="/xl/worksheets/sheet1.xml" Id="Ra801a35fc68c4de2" /><Relationship Type="http://schemas.openxmlformats.org/officeDocument/2006/relationships/worksheet" Target="/xl/worksheets/sheet2.xml" Id="Rfc6b147f4cd14b15" /><Relationship Type="http://schemas.openxmlformats.org/officeDocument/2006/relationships/worksheet" Target="/xl/worksheets/sheet3.xml" Id="R71e98d4ae0c54071" /><Relationship Type="http://schemas.openxmlformats.org/officeDocument/2006/relationships/worksheet" Target="/xl/worksheets/sheet4.xml" Id="Rfdbf08b289d348d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c21ee8269224a6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Monthly Azure Actual Cost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Total Cost</c:v>
          </c:tx>
          <c:marker>
            <c:symbol val="none"/>
          </c:marker>
          <c:cat>
            <c:strRef>
              <c:f>'Dashboard'!$A$11:$A$16</c:f>
              <c:strCache>
                <c:ptCount val="0"/>
              </c:strCache>
            </c:strRef>
          </c:cat>
          <c:val>
            <c:numRef>
              <c:f>'Dashboard'!$B$11:$B$16</c:f>
              <c:numCache>
                <c:formatCode>"$"#,##0.00;[Red]("$"#,##0.00);-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</c:catAx>
      <c:valAx>
        <c:axId val="48672768"/>
        <c:scaling>
          <c:orientation val="minMax"/>
          <c:max val="14000"/>
          <c:min val="800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21ee8269224a6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ubscriptionCostsTable" displayName="SubscriptionCostsTable" ref="A4:K26" headerRowCount="1" totalsRowCount="0" totalsRowShown="0">
  <x:autoFilter ref="A4:K26"/>
  <x:tableColumns count="11">
    <x:tableColumn id="1" name="Subscription"/>
    <x:tableColumn id="2" name="Sun Feb 01 2026 05:30:00 GMT+0530 (India Standard Time)"/>
    <x:tableColumn id="3" name="Sun Mar 01 2026 05:30:00 GMT+0530 (India Standard Time)"/>
    <x:tableColumn id="4" name="Wed Apr 01 2026 05:30:00 GMT+0530 (India Standard Time)"/>
    <x:tableColumn id="5" name="Fri May 01 2026 05:30:00 GMT+0530 (India Standard Time)"/>
    <x:tableColumn id="6" name="Mon Jun 01 2026 05:30:00 GMT+0530 (India Standard Time)"/>
    <x:tableColumn id="7" name="Wed Jul 01 2026 05:30:00 GMT+0530 (India Standard Time)"/>
    <x:tableColumn id="8" name="6-Month Total"/>
    <x:tableColumn id="9" name="Monthly Average"/>
    <x:tableColumn id="10" name="Jul vs Feb $"/>
    <x:tableColumn id="11" name="Jul vs Feb %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nthlySummaryTable" displayName="MonthlySummaryTable" ref="A4:E10" headerRowCount="1" totalsRowCount="0" totalsRowShown="0">
  <x:tableColumns count="5">
    <x:tableColumn id="1" name="Billing Month"/>
    <x:tableColumn id="2" name="Total Cost"/>
    <x:tableColumn id="3" name="MoM $"/>
    <x:tableColumn id="4" name="MoM %"/>
    <x:tableColumn id="5" name="Perio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eriodComparisonTable" displayName="PeriodComparisonTable" ref="A14:D16" headerRowCount="1" totalsRowCount="0" totalsRowShown="0">
  <x:tableColumns count="4">
    <x:tableColumn id="1" name="Period"/>
    <x:tableColumn id="2" name="Total Cost"/>
    <x:tableColumn id="3" name="Average / Month"/>
    <x:tableColumn id="4" name="Change vs Prio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Table" displayName="SourcesTable" ref="A4:H7" headerRowCount="1" totalsRowCount="0" totalsRowShown="0">
  <x:tableColumns count="8">
    <x:tableColumn id="1" name="Item"/>
    <x:tableColumn id="2" name="Value"/>
    <x:tableColumn id="3" name="Units"/>
    <x:tableColumn id="4" name="Period / As-of"/>
    <x:tableColumn id="5" name="Source Type"/>
    <x:tableColumn id="6" name="Source Name"/>
    <x:tableColumn id="7" name="Reference"/>
    <x:tableColumn id="8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hecksTable" displayName="ChecksTable" ref="A10:D17" headerRowCount="1" totalsRowCount="0" totalsRowShown="0">
  <x:tableColumns count="4">
    <x:tableColumn id="1" name="Check"/>
    <x:tableColumn id="2" name="Status"/>
    <x:tableColumn id="3" name="Delta"/>
    <x:tableColumn id="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c236735bb5b4b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7524cb910e49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3f87d5d101485b" /><Relationship Type="http://schemas.openxmlformats.org/officeDocument/2006/relationships/table" Target="/xl/tables/table3.xml" Id="R31f3ba397fbc49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6e7c85ad7474eb2" /><Relationship Type="http://schemas.openxmlformats.org/officeDocument/2006/relationships/table" Target="/xl/tables/table5.xml" Id="R7b6ae366b7984c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6" hidden="0" customWidth="1"/>
    <x:col min="3" max="3" width="16" hidden="0" customWidth="1"/>
    <x:col min="4" max="4" width="16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 ht="28" customHeight="1">
      <x:c r="A1" s="3" t="str">
        <x:v>Azure Cost Dashboard · Feb–Jul 2026</x:v>
      </x:c>
      <x:c r="B1" s="3" t="str">
        <x:v>Azure Cost Dashboard · Feb–Jul 2026</x:v>
      </x:c>
      <x:c r="C1" s="3" t="str">
        <x:v>Azure Cost Dashboard · Feb–Jul 2026</x:v>
      </x:c>
      <x:c r="D1" s="3" t="str">
        <x:v>Azure Cost Dashboard · Feb–Jul 2026</x:v>
      </x:c>
      <x:c r="E1" s="3" t="str">
        <x:v>Azure Cost Dashboard · Feb–Jul 2026</x:v>
      </x:c>
      <x:c r="F1" s="3" t="str">
        <x:v>Azure Cost Dashboard · Feb–Jul 2026</x:v>
      </x:c>
      <x:c r="G1" s="3" t="str">
        <x:v>Azure Cost Dashboard · Feb–Jul 2026</x:v>
      </x:c>
      <x:c r="H1" s="3" t="str">
        <x:v>Azure Cost Dashboard · Feb–Jul 2026</x:v>
      </x:c>
      <x:c r="I1" s="3" t="str">
        <x:v>Azure Cost Dashboard · Feb–Jul 2026</x:v>
      </x:c>
      <x:c r="J1" s="3" t="str">
        <x:v>Azure Cost Dashboard · Feb–Jul 2026</x:v>
      </x:c>
      <x:c r="K1" s="3" t="str">
        <x:v>Azure Cost Dashboard · Feb–Jul 2026</x:v>
      </x:c>
    </x:row>
    <x:row r="2" ht="28" customHeight="1">
      <x:c r="A2" s="3" t="str">
        <x:v>Azure Cost Dashboard · Feb–Jul 2026</x:v>
      </x:c>
      <x:c r="B2" s="3" t="str">
        <x:v>Azure Cost Dashboard · Feb–Jul 2026</x:v>
      </x:c>
      <x:c r="C2" s="3" t="str">
        <x:v>Azure Cost Dashboard · Feb–Jul 2026</x:v>
      </x:c>
      <x:c r="D2" s="3" t="str">
        <x:v>Azure Cost Dashboard · Feb–Jul 2026</x:v>
      </x:c>
      <x:c r="E2" s="3" t="str">
        <x:v>Azure Cost Dashboard · Feb–Jul 2026</x:v>
      </x:c>
      <x:c r="F2" s="3" t="str">
        <x:v>Azure Cost Dashboard · Feb–Jul 2026</x:v>
      </x:c>
      <x:c r="G2" s="3" t="str">
        <x:v>Azure Cost Dashboard · Feb–Jul 2026</x:v>
      </x:c>
      <x:c r="H2" s="3" t="str">
        <x:v>Azure Cost Dashboard · Feb–Jul 2026</x:v>
      </x:c>
      <x:c r="I2" s="3" t="str">
        <x:v>Azure Cost Dashboard · Feb–Jul 2026</x:v>
      </x:c>
      <x:c r="J2" s="3" t="str">
        <x:v>Azure Cost Dashboard · Feb–Jul 2026</x:v>
      </x:c>
      <x:c r="K2" s="3" t="str">
        <x:v>Azure Cost Dashboard · Feb–Jul 2026</x:v>
      </x:c>
    </x:row>
    <x:row r="3" ht="22" customHeight="1">
      <x:c r="A3" s="6" t="str">
        <x:v>22 subscriptions · Usage / PreTaxCost · USD · refreshed 2026-09-01 05:11 UTC</x:v>
      </x:c>
      <x:c r="B3" s="6" t="str">
        <x:v>22 subscriptions · Usage / PreTaxCost · USD · refreshed 2026-09-01 05:11 UTC</x:v>
      </x:c>
      <x:c r="C3" s="6" t="str">
        <x:v>22 subscriptions · Usage / PreTaxCost · USD · refreshed 2026-09-01 05:11 UTC</x:v>
      </x:c>
      <x:c r="D3" s="6" t="str">
        <x:v>22 subscriptions · Usage / PreTaxCost · USD · refreshed 2026-09-01 05:11 UTC</x:v>
      </x:c>
      <x:c r="E3" s="6" t="str">
        <x:v>22 subscriptions · Usage / PreTaxCost · USD · refreshed 2026-09-01 05:11 UTC</x:v>
      </x:c>
      <x:c r="F3" s="6" t="str">
        <x:v>22 subscriptions · Usage / PreTaxCost · USD · refreshed 2026-09-01 05:11 UTC</x:v>
      </x:c>
      <x:c r="G3" s="6" t="str">
        <x:v>22 subscriptions · Usage / PreTaxCost · USD · refreshed 2026-09-01 05:11 UTC</x:v>
      </x:c>
      <x:c r="H3" s="6" t="str">
        <x:v>22 subscriptions · Usage / PreTaxCost · USD · refreshed 2026-09-01 05:11 UTC</x:v>
      </x:c>
      <x:c r="I3" s="6" t="str">
        <x:v>22 subscriptions · Usage / PreTaxCost · USD · refreshed 2026-09-01 05:11 UTC</x:v>
      </x:c>
      <x:c r="J3" s="6" t="str">
        <x:v>22 subscriptions · Usage / PreTaxCost · USD · refreshed 2026-09-01 05:11 UTC</x:v>
      </x:c>
      <x:c r="K3" s="6" t="str">
        <x:v>22 subscriptions · Usage / PreTaxCost · USD · refreshed 2026-09-01 05:11 UTC</x:v>
      </x:c>
    </x:row>
    <x:row r="5">
      <x:c r="A5" s="56" t="str">
        <x:v>Feb–Apr Average / Month</x:v>
      </x:c>
      <x:c r="B5" s="57" t="str">
        <x:v>Feb–Apr Average / Month</x:v>
      </x:c>
      <x:c r="C5" s="58" t="str">
        <x:v>Feb–Apr Average / Month</x:v>
      </x:c>
      <x:c r="E5" s="56" t="str">
        <x:v>May–Jul Average / Month</x:v>
      </x:c>
      <x:c r="F5" s="57" t="str">
        <x:v>May–Jul Average / Month</x:v>
      </x:c>
      <x:c r="G5" s="58" t="str">
        <x:v>May–Jul Average / Month</x:v>
      </x:c>
      <x:c r="I5" s="56" t="str">
        <x:v>Average Cost Increase</x:v>
      </x:c>
      <x:c r="J5" s="57" t="str">
        <x:v>Average Cost Increase</x:v>
      </x:c>
      <x:c r="K5" s="58" t="str">
        <x:v>Average Cost Increase</x:v>
      </x:c>
    </x:row>
    <x:row r="6">
      <x:c r="A6" s="79" t="n">
        <x:f>'Monthly Summary'!C15</x:f>
        <x:v>11060.063315218164</x:v>
      </x:c>
      <x:c r="B6" s="80"/>
      <x:c r="C6" s="81"/>
      <x:c r="E6" s="79" t="n">
        <x:f>'Monthly Summary'!C16</x:f>
        <x:v>13254.743195171366</x:v>
      </x:c>
      <x:c r="F6" s="80"/>
      <x:c r="G6" s="81"/>
      <x:c r="I6" s="85" t="n">
        <x:f>'Monthly Summary'!D16</x:f>
        <x:v>0.19843284956004004</x:v>
      </x:c>
      <x:c r="J6" s="86"/>
      <x:c r="K6" s="87"/>
    </x:row>
    <x:row r="7">
      <x:c r="A7" s="82"/>
      <x:c r="B7" s="83"/>
      <x:c r="C7" s="84"/>
      <x:c r="E7" s="82"/>
      <x:c r="F7" s="83"/>
      <x:c r="G7" s="84"/>
      <x:c r="I7" s="88"/>
      <x:c r="J7" s="89"/>
      <x:c r="K7" s="90"/>
    </x:row>
    <x:row r="10" ht="24" customHeight="1">
      <x:c r="A10" s="18" t="str">
        <x:v>Month</x:v>
      </x:c>
      <x:c r="B10" s="20" t="str">
        <x:v>Total Cost</x:v>
      </x:c>
    </x:row>
    <x:row r="11">
      <x:c r="A11" s="45" t="str">
        <x:f>TEXT('Monthly Summary'!A5,"mmm yyyy")</x:f>
        <x:v>Feb 2026</x:v>
      </x:c>
      <x:c r="B11" s="43" t="n">
        <x:f>'Monthly Summary'!B5</x:f>
        <x:v>9582.947245173464</x:v>
      </x:c>
    </x:row>
    <x:row r="12">
      <x:c r="A12" s="47" t="str">
        <x:f>TEXT('Monthly Summary'!A6,"mmm yyyy")</x:f>
        <x:v>Mar 2026</x:v>
      </x:c>
      <x:c r="B12" s="39" t="n">
        <x:f>'Monthly Summary'!B6</x:f>
        <x:v>11903.54767346683</x:v>
      </x:c>
    </x:row>
    <x:row r="13">
      <x:c r="A13" s="47" t="str">
        <x:f>TEXT('Monthly Summary'!A7,"mmm yyyy")</x:f>
        <x:v>Apr 2026</x:v>
      </x:c>
      <x:c r="B13" s="39" t="n">
        <x:f>'Monthly Summary'!B7</x:f>
        <x:v>11693.695027014195</x:v>
      </x:c>
    </x:row>
    <x:row r="14">
      <x:c r="A14" s="47" t="str">
        <x:f>TEXT('Monthly Summary'!A8,"mmm yyyy")</x:f>
        <x:v>May 2026</x:v>
      </x:c>
      <x:c r="B14" s="39" t="n">
        <x:f>'Monthly Summary'!B8</x:f>
        <x:v>13211.132468448133</x:v>
      </x:c>
    </x:row>
    <x:row r="15">
      <x:c r="A15" s="47" t="str">
        <x:f>TEXT('Monthly Summary'!A9,"mmm yyyy")</x:f>
        <x:v>Jun 2026</x:v>
      </x:c>
      <x:c r="B15" s="39" t="n">
        <x:f>'Monthly Summary'!B9</x:f>
        <x:v>13352.369410184629</x:v>
      </x:c>
    </x:row>
    <x:row r="16">
      <x:c r="A16" s="47" t="str">
        <x:f>TEXT('Monthly Summary'!A10,"mmm yyyy")</x:f>
        <x:v>Jul 2026</x:v>
      </x:c>
      <x:c r="B16" s="39" t="n">
        <x:f>'Monthly Summary'!B10</x:f>
        <x:v>13200.727706881338</x:v>
      </x:c>
    </x:row>
    <x:row r="19">
      <x:c r="A19" s="50" t="str">
        <x:v>Main Drivers of Average Monthly Change</x:v>
      </x:c>
      <x:c r="B19" s="51"/>
      <x:c r="C19" s="51"/>
      <x:c r="D19" s="52"/>
    </x:row>
    <x:row r="20" ht="24" customHeight="1">
      <x:c r="A20" s="18" t="str">
        <x:v>Subscription</x:v>
      </x:c>
      <x:c r="B20" s="19" t="str">
        <x:v>Feb–Apr Avg</x:v>
      </x:c>
      <x:c r="C20" s="19" t="str">
        <x:v>May–Jul Avg</x:v>
      </x:c>
      <x:c r="D20" s="20" t="str">
        <x:v>Change</x:v>
      </x:c>
    </x:row>
    <x:row r="21">
      <x:c r="A21" s="92" t="str">
        <x:v>dt-prd-logging-oeqrq2jxadm36</x:v>
      </x:c>
      <x:c r="B21" s="43" t="n">
        <x:f>AVERAGE('Subscription Costs'!B23:D23)</x:f>
        <x:v>1906.8169300085162</x:v>
      </x:c>
      <x:c r="C21" s="43" t="n">
        <x:f>AVERAGE('Subscription Costs'!E23:G23)</x:f>
        <x:v>2791.4798106008107</x:v>
      </x:c>
      <x:c r="D21" s="43" t="n">
        <x:f>C21-B21</x:f>
        <x:v>884.6628805922944</x:v>
      </x:c>
    </x:row>
    <x:row r="22">
      <x:c r="A22" s="93" t="str">
        <x:v>dt-prd-app-oeqrq2jxadm36</x:v>
      </x:c>
      <x:c r="B22" s="39" t="n">
        <x:f>AVERAGE('Subscription Costs'!B7:D7)</x:f>
        <x:v>1681.0504170249067</x:v>
      </x:c>
      <x:c r="C22" s="39" t="n">
        <x:f>AVERAGE('Subscription Costs'!E7:G7)</x:f>
        <x:v>2133.661034077108</x:v>
      </x:c>
      <x:c r="D22" s="39" t="n">
        <x:f>C22-B22</x:f>
        <x:v>452.6106170522014</x:v>
      </x:c>
    </x:row>
    <x:row r="23">
      <x:c r="A23" s="93" t="str">
        <x:v>dt-prd-vitea-oeqrq2jxadm36</x:v>
      </x:c>
      <x:c r="B23" s="39" t="n">
        <x:f>AVERAGE('Subscription Costs'!B5:D5)</x:f>
        <x:v>0</x:v>
      </x:c>
      <x:c r="C23" s="39" t="n">
        <x:f>AVERAGE('Subscription Costs'!E5:G5)</x:f>
        <x:v>434.12522202001395</x:v>
      </x:c>
      <x:c r="D23" s="39" t="n">
        <x:f>C23-B23</x:f>
        <x:v>434.12522202001395</x:v>
      </x:c>
    </x:row>
    <x:row r="24">
      <x:c r="A24" s="93" t="str">
        <x:v>dt-prd-management-oeqrq2jxadm36</x:v>
      </x:c>
      <x:c r="B24" s="39" t="n">
        <x:f>AVERAGE('Subscription Costs'!B24:D24)</x:f>
        <x:v>598.5610910612319</x:v>
      </x:c>
      <x:c r="C24" s="39" t="n">
        <x:f>AVERAGE('Subscription Costs'!E24:G24)</x:f>
        <x:v>945.5637978172957</x:v>
      </x:c>
      <x:c r="D24" s="39" t="n">
        <x:f>C24-B24</x:f>
        <x:v>347.00270675606384</x:v>
      </x:c>
    </x:row>
    <x:row r="25">
      <x:c r="A25" s="93" t="str">
        <x:v>dt-prd-azuredevops-oeqrq2jxadm36</x:v>
      </x:c>
      <x:c r="B25" s="39" t="n">
        <x:f>AVERAGE('Subscription Costs'!B25:D25)</x:f>
        <x:v>984.5465965161123</x:v>
      </x:c>
      <x:c r="C25" s="39" t="n">
        <x:f>AVERAGE('Subscription Costs'!E25:G25)</x:f>
        <x:v>1301.3528620160923</x:v>
      </x:c>
      <x:c r="D25" s="39" t="n">
        <x:f>C25-B25</x:f>
        <x:v>316.80626549998</x:v>
      </x:c>
    </x:row>
    <x:row r="26">
      <x:c r="A26" s="93" t="str">
        <x:v>dt-prd-analytics-oeqrq2jxadm36</x:v>
      </x:c>
      <x:c r="B26" s="39" t="n">
        <x:f>AVERAGE('Subscription Costs'!B20:D20)</x:f>
        <x:v>2369.456127934453</x:v>
      </x:c>
      <x:c r="C26" s="39" t="n">
        <x:f>AVERAGE('Subscription Costs'!E20:G20)</x:f>
        <x:v>1810.5716027720482</x:v>
      </x:c>
      <x:c r="D26" s="39" t="n">
        <x:f>C26-B26</x:f>
        <x:v>-558.8845251624048</x:v>
      </x:c>
    </x:row>
    <x:row r="28">
      <x:c r="F28" s="50" t="str">
        <x:v>Period Comparison</x:v>
      </x:c>
      <x:c r="G28" s="51"/>
      <x:c r="H28" s="51"/>
      <x:c r="I28" s="52"/>
    </x:row>
    <x:row r="29" ht="24" customHeight="1">
      <x:c r="F29" s="18" t="str">
        <x:v>Period</x:v>
      </x:c>
      <x:c r="G29" s="19" t="str">
        <x:v>Total</x:v>
      </x:c>
      <x:c r="H29" s="19" t="str">
        <x:v>Average / Month</x:v>
      </x:c>
      <x:c r="I29" s="20" t="str">
        <x:v>Change</x:v>
      </x:c>
    </x:row>
    <x:row r="30">
      <x:c r="F30" s="45" t="str">
        <x:v>Feb–Apr</x:v>
      </x:c>
      <x:c r="G30" s="43" t="n">
        <x:f>'Monthly Summary'!B15</x:f>
        <x:v>33180.18994565449</x:v>
      </x:c>
      <x:c r="H30" s="43" t="n">
        <x:f>'Monthly Summary'!C15</x:f>
        <x:v>11060.063315218164</x:v>
      </x:c>
      <x:c r="I30" s="44"/>
    </x:row>
    <x:row r="31">
      <x:c r="F31" s="47" t="str">
        <x:v>May–Jul</x:v>
      </x:c>
      <x:c r="G31" s="39" t="n">
        <x:f>'Monthly Summary'!B16</x:f>
        <x:v>39764.2295855141</x:v>
      </x:c>
      <x:c r="H31" s="39" t="n">
        <x:f>'Monthly Summary'!C16</x:f>
        <x:v>13254.743195171366</x:v>
      </x:c>
      <x:c r="I31" s="40" t="n">
        <x:f>'Monthly Summary'!D16</x:f>
        <x:v>0.19843284956004004</x:v>
      </x:c>
    </x:row>
    <x:row r="33">
      <x:c r="F33" s="91" t="str">
        <x:v>Positive change means higher average monthly spend.</x:v>
      </x:c>
      <x:c r="G33" s="91"/>
      <x:c r="H33" s="91"/>
      <x:c r="I33" s="91"/>
    </x:row>
  </x:sheetData>
  <x:mergeCells>
    <x:mergeCell ref="A1:K2"/>
    <x:mergeCell ref="A3:K3"/>
    <x:mergeCell ref="A5:C5"/>
    <x:mergeCell ref="A6:C7"/>
    <x:mergeCell ref="E5:G5"/>
    <x:mergeCell ref="E6:G7"/>
    <x:mergeCell ref="I5:K5"/>
    <x:mergeCell ref="I6:K7"/>
    <x:mergeCell ref="A19:D19"/>
    <x:mergeCell ref="F28:I28"/>
    <x:mergeCell ref="F33:I33"/>
  </x:mergeCells>
  <x:conditionalFormatting sqref="D21:D26">
    <x:cfRule type="cellIs" dxfId="4" priority="1" operator="greaterThan">
      <x:formula>0</x:formula>
    </x:cfRule>
    <x:cfRule type="cellIs" dxfId="5" priority="2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dc236735bb5b4bc0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6" hidden="0" customWidth="1"/>
    <x:col min="9" max="9" width="16" hidden="0" customWidth="1"/>
    <x:col min="10" max="10" width="16" hidden="0" customWidth="1"/>
    <x:col min="11" max="11" width="13" hidden="0" customWidth="1"/>
  </x:cols>
  <x:sheetData>
    <x:row r="1" ht="28" customHeight="1">
      <x:c r="A1" s="3" t="str">
        <x:v>Azure Subscription Costs · Feb–Jul 2026</x:v>
      </x:c>
      <x:c r="B1" s="3" t="str">
        <x:v>Azure Subscription Costs · Feb–Jul 2026</x:v>
      </x:c>
      <x:c r="C1" s="3" t="str">
        <x:v>Azure Subscription Costs · Feb–Jul 2026</x:v>
      </x:c>
      <x:c r="D1" s="3" t="str">
        <x:v>Azure Subscription Costs · Feb–Jul 2026</x:v>
      </x:c>
      <x:c r="E1" s="3" t="str">
        <x:v>Azure Subscription Costs · Feb–Jul 2026</x:v>
      </x:c>
      <x:c r="F1" s="3" t="str">
        <x:v>Azure Subscription Costs · Feb–Jul 2026</x:v>
      </x:c>
      <x:c r="G1" s="3" t="str">
        <x:v>Azure Subscription Costs · Feb–Jul 2026</x:v>
      </x:c>
      <x:c r="H1" s="3" t="str">
        <x:v>Azure Subscription Costs · Feb–Jul 2026</x:v>
      </x:c>
      <x:c r="I1" s="3" t="str">
        <x:v>Azure Subscription Costs · Feb–Jul 2026</x:v>
      </x:c>
      <x:c r="J1" s="3" t="str">
        <x:v>Azure Subscription Costs · Feb–Jul 2026</x:v>
      </x:c>
      <x:c r="K1" s="3" t="str">
        <x:v>Azure Subscription Costs · Feb–Jul 2026</x:v>
      </x:c>
    </x:row>
    <x:row r="2" ht="28" customHeight="1">
      <x:c r="A2" s="3" t="str">
        <x:v>Azure Subscription Costs · Feb–Jul 2026</x:v>
      </x:c>
      <x:c r="B2" s="3" t="str">
        <x:v>Azure Subscription Costs · Feb–Jul 2026</x:v>
      </x:c>
      <x:c r="C2" s="3" t="str">
        <x:v>Azure Subscription Costs · Feb–Jul 2026</x:v>
      </x:c>
      <x:c r="D2" s="3" t="str">
        <x:v>Azure Subscription Costs · Feb–Jul 2026</x:v>
      </x:c>
      <x:c r="E2" s="3" t="str">
        <x:v>Azure Subscription Costs · Feb–Jul 2026</x:v>
      </x:c>
      <x:c r="F2" s="3" t="str">
        <x:v>Azure Subscription Costs · Feb–Jul 2026</x:v>
      </x:c>
      <x:c r="G2" s="3" t="str">
        <x:v>Azure Subscription Costs · Feb–Jul 2026</x:v>
      </x:c>
      <x:c r="H2" s="3" t="str">
        <x:v>Azure Subscription Costs · Feb–Jul 2026</x:v>
      </x:c>
      <x:c r="I2" s="3" t="str">
        <x:v>Azure Subscription Costs · Feb–Jul 2026</x:v>
      </x:c>
      <x:c r="J2" s="3" t="str">
        <x:v>Azure Subscription Costs · Feb–Jul 2026</x:v>
      </x:c>
      <x:c r="K2" s="3" t="str">
        <x:v>Azure Subscription Costs · Feb–Jul 2026</x:v>
      </x:c>
    </x:row>
    <x:row r="3" ht="22" customHeight="1">
      <x:c r="A3" s="6" t="str">
        <x:v>Source values: Azure Cost Management Usage / PreTaxCost · USD · before tax</x:v>
      </x:c>
      <x:c r="B3" s="6" t="str">
        <x:v>Source values: Azure Cost Management Usage / PreTaxCost · USD · before tax</x:v>
      </x:c>
      <x:c r="C3" s="6" t="str">
        <x:v>Source values: Azure Cost Management Usage / PreTaxCost · USD · before tax</x:v>
      </x:c>
      <x:c r="D3" s="6" t="str">
        <x:v>Source values: Azure Cost Management Usage / PreTaxCost · USD · before tax</x:v>
      </x:c>
      <x:c r="E3" s="6" t="str">
        <x:v>Source values: Azure Cost Management Usage / PreTaxCost · USD · before tax</x:v>
      </x:c>
      <x:c r="F3" s="6" t="str">
        <x:v>Source values: Azure Cost Management Usage / PreTaxCost · USD · before tax</x:v>
      </x:c>
      <x:c r="G3" s="6" t="str">
        <x:v>Source values: Azure Cost Management Usage / PreTaxCost · USD · before tax</x:v>
      </x:c>
      <x:c r="H3" s="6" t="str">
        <x:v>Source values: Azure Cost Management Usage / PreTaxCost · USD · before tax</x:v>
      </x:c>
      <x:c r="I3" s="6" t="str">
        <x:v>Source values: Azure Cost Management Usage / PreTaxCost · USD · before tax</x:v>
      </x:c>
      <x:c r="J3" s="6" t="str">
        <x:v>Source values: Azure Cost Management Usage / PreTaxCost · USD · before tax</x:v>
      </x:c>
      <x:c r="K3" s="6" t="str">
        <x:v>Source values: Azure Cost Management Usage / PreTaxCost · USD · before tax</x:v>
      </x:c>
    </x:row>
    <x:row r="4" ht="24" customHeight="1">
      <x:c r="A4" s="34" t="str">
        <x:v>Subscription</x:v>
      </x:c>
      <x:c r="B4" s="35" t="n">
        <x:v>46054</x:v>
      </x:c>
      <x:c r="C4" s="35" t="n">
        <x:v>46082</x:v>
      </x:c>
      <x:c r="D4" s="35" t="n">
        <x:v>46113</x:v>
      </x:c>
      <x:c r="E4" s="35" t="n">
        <x:v>46143</x:v>
      </x:c>
      <x:c r="F4" s="35" t="n">
        <x:v>46174</x:v>
      </x:c>
      <x:c r="G4" s="35" t="n">
        <x:v>46204</x:v>
      </x:c>
      <x:c r="H4" s="36" t="str">
        <x:v>6-Month Total</x:v>
      </x:c>
      <x:c r="I4" s="36" t="str">
        <x:v>Monthly Average</x:v>
      </x:c>
      <x:c r="J4" s="36" t="str">
        <x:v>Jul vs Feb $</x:v>
      </x:c>
      <x:c r="K4" s="36" t="str">
        <x:v>Jul vs Feb %</x:v>
      </x:c>
    </x:row>
    <x:row r="5">
      <x:c r="A5" s="37" t="str">
        <x:v>dt-prd-vitea-oeqrq2jxadm36</x:v>
      </x:c>
      <x:c r="B5" s="38" t="n">
        <x:v>0</x:v>
      </x:c>
      <x:c r="C5" s="38" t="n">
        <x:v>0</x:v>
      </x:c>
      <x:c r="D5" s="38" t="n">
        <x:v>0</x:v>
      </x:c>
      <x:c r="E5" s="38" t="n">
        <x:v>0</x:v>
      </x:c>
      <x:c r="F5" s="38" t="n">
        <x:v>408.365752524476</x:v>
      </x:c>
      <x:c r="G5" s="38" t="n">
        <x:v>894.0099135355657</x:v>
      </x:c>
      <x:c r="H5" s="39" t="n">
        <x:f>SUM(B5:G5)</x:f>
        <x:v>1302.3756660600418</x:v>
      </x:c>
      <x:c r="I5" s="39" t="n">
        <x:f>AVERAGE(B5:G5)</x:f>
        <x:v>217.06261101000698</x:v>
      </x:c>
      <x:c r="J5" s="39" t="n">
        <x:f>G5-B5</x:f>
        <x:v>894.0099135355657</x:v>
      </x:c>
      <x:c r="K5" s="40" t="str">
        <x:f>IF(B5=0,"",G5/B5-1)</x:f>
      </x:c>
    </x:row>
    <x:row r="6">
      <x:c r="A6" s="37" t="str">
        <x:v>dt-tst-app-oeqrq2jxadm36</x:v>
      </x:c>
      <x:c r="B6" s="38" t="n">
        <x:v>647.860917855161</x:v>
      </x:c>
      <x:c r="C6" s="38" t="n">
        <x:v>739.9020824783285</x:v>
      </x:c>
      <x:c r="D6" s="38" t="n">
        <x:v>755.028202403708</x:v>
      </x:c>
      <x:c r="E6" s="38" t="n">
        <x:v>763.480151346564</x:v>
      </x:c>
      <x:c r="F6" s="38" t="n">
        <x:v>749.8381472915765</x:v>
      </x:c>
      <x:c r="G6" s="38" t="n">
        <x:v>792.8021947004928</x:v>
      </x:c>
      <x:c r="H6" s="39" t="n">
        <x:f>SUM(B6:G6)</x:f>
        <x:v>4448.911696075831</x:v>
      </x:c>
      <x:c r="I6" s="39" t="n">
        <x:f>AVERAGE(B6:G6)</x:f>
        <x:v>741.4852826793052</x:v>
      </x:c>
      <x:c r="J6" s="39" t="n">
        <x:f>G6-B6</x:f>
        <x:v>144.9412768453318</x:v>
      </x:c>
      <x:c r="K6" s="40" t="n">
        <x:f>IF(B6=0,"",G6/B6-1)</x:f>
        <x:v>0.22372282823477185</x:v>
      </x:c>
    </x:row>
    <x:row r="7">
      <x:c r="A7" s="37" t="str">
        <x:v>dt-prd-app-oeqrq2jxadm36</x:v>
      </x:c>
      <x:c r="B7" s="38" t="n">
        <x:v>895.23478265396</x:v>
      </x:c>
      <x:c r="C7" s="38" t="n">
        <x:v>2073.610839654017</x:v>
      </x:c>
      <x:c r="D7" s="38" t="n">
        <x:v>2074.305628766743</x:v>
      </x:c>
      <x:c r="E7" s="38" t="n">
        <x:v>2140.73476992165</x:v>
      </x:c>
      <x:c r="F7" s="38" t="n">
        <x:v>2091.185730999298</x:v>
      </x:c>
      <x:c r="G7" s="38" t="n">
        <x:v>2169.062601310378</x:v>
      </x:c>
      <x:c r="H7" s="39" t="n">
        <x:f>SUM(B7:G7)</x:f>
        <x:v>11444.134353306044</x:v>
      </x:c>
      <x:c r="I7" s="39" t="n">
        <x:f>AVERAGE(B7:G7)</x:f>
        <x:v>1907.3557255510075</x:v>
      </x:c>
      <x:c r="J7" s="39" t="n">
        <x:f>G7-B7</x:f>
        <x:v>1273.827818656418</x:v>
      </x:c>
      <x:c r="K7" s="40" t="n">
        <x:f>IF(B7=0,"",G7/B7-1)</x:f>
        <x:v>1.4228980412044576</x:v>
      </x:c>
    </x:row>
    <x:row r="8">
      <x:c r="A8" s="37" t="str">
        <x:v>dt-dev-app-oeqrq2jxadm36</x:v>
      </x:c>
      <x:c r="B8" s="38" t="n">
        <x:v>660.947107281394</x:v>
      </x:c>
      <x:c r="C8" s="38" t="n">
        <x:v>574.518864326524</x:v>
      </x:c>
      <x:c r="D8" s="38" t="n">
        <x:v>432.7724792783479</x:v>
      </x:c>
      <x:c r="E8" s="38" t="n">
        <x:v>438.435468715237</x:v>
      </x:c>
      <x:c r="F8" s="38" t="n">
        <x:v>440.1475654667235</x:v>
      </x:c>
      <x:c r="G8" s="38" t="n">
        <x:v>501.4998975856853</x:v>
      </x:c>
      <x:c r="H8" s="39" t="n">
        <x:f>SUM(B8:G8)</x:f>
        <x:v>3048.3213826539113</x:v>
      </x:c>
      <x:c r="I8" s="39" t="n">
        <x:f>AVERAGE(B8:G8)</x:f>
        <x:v>508.05356377565187</x:v>
      </x:c>
      <x:c r="J8" s="39" t="n">
        <x:f>G8-B8</x:f>
        <x:v>-159.4472096957087</x:v>
      </x:c>
      <x:c r="K8" s="40" t="n">
        <x:f>IF(B8=0,"",G8/B8-1)</x:f>
        <x:v>-0.24124049858020646</x:v>
      </x:c>
    </x:row>
    <x:row r="9">
      <x:c r="A9" s="37" t="str">
        <x:v>dt-shr-microsites-oeqrq2jxadm36</x:v>
      </x:c>
      <x:c r="B9" s="38" t="n">
        <x:v>0</x:v>
      </x:c>
      <x:c r="C9" s="38" t="n">
        <x:v>0</x:v>
      </x:c>
      <x:c r="D9" s="38" t="n">
        <x:v>0</x:v>
      </x:c>
      <x:c r="E9" s="38" t="n">
        <x:v>0</x:v>
      </x:c>
      <x:c r="F9" s="38" t="n">
        <x:v>18.9987336863778</x:v>
      </x:c>
      <x:c r="G9" s="38" t="n">
        <x:v>62.39308065903422</x:v>
      </x:c>
      <x:c r="H9" s="39" t="n">
        <x:f>SUM(B9:G9)</x:f>
        <x:v>81.39181434541202</x:v>
      </x:c>
      <x:c r="I9" s="39" t="n">
        <x:f>AVERAGE(B9:G9)</x:f>
        <x:v>13.565302390902003</x:v>
      </x:c>
      <x:c r="J9" s="39" t="n">
        <x:f>G9-B9</x:f>
        <x:v>62.39308065903422</x:v>
      </x:c>
      <x:c r="K9" s="40" t="str">
        <x:f>IF(B9=0,"",G9/B9-1)</x:f>
      </x:c>
    </x:row>
    <x:row r="10">
      <x:c r="A10" s="37" t="str">
        <x:v>dt-tst-microsites-oeqrq2jxadm36</x:v>
      </x:c>
      <x:c r="B10" s="38" t="n">
        <x:v>0</x:v>
      </x:c>
      <x:c r="C10" s="38" t="n">
        <x:v>0</x:v>
      </x:c>
      <x:c r="D10" s="38" t="n">
        <x:v>0</x:v>
      </x:c>
      <x:c r="E10" s="38" t="n">
        <x:v>0</x:v>
      </x:c>
      <x:c r="F10" s="38" t="n">
        <x:v>0</x:v>
      </x:c>
      <x:c r="G10" s="38" t="n">
        <x:v>79.7766114495324</x:v>
      </x:c>
      <x:c r="H10" s="39" t="n">
        <x:f>SUM(B10:G10)</x:f>
        <x:v>79.7766114495324</x:v>
      </x:c>
      <x:c r="I10" s="39" t="n">
        <x:f>AVERAGE(B10:G10)</x:f>
        <x:v>13.2961019082554</x:v>
      </x:c>
      <x:c r="J10" s="39" t="n">
        <x:f>G10-B10</x:f>
        <x:v>79.7766114495324</x:v>
      </x:c>
      <x:c r="K10" s="40" t="str">
        <x:f>IF(B10=0,"",G10/B10-1)</x:f>
      </x:c>
    </x:row>
    <x:row r="11">
      <x:c r="A11" s="37" t="str">
        <x:v>dt-dev-microsites-oeqrq2jxadm36</x:v>
      </x:c>
      <x:c r="B11" s="38" t="n">
        <x:v>0</x:v>
      </x:c>
      <x:c r="C11" s="38" t="n">
        <x:v>0</x:v>
      </x:c>
      <x:c r="D11" s="38" t="n">
        <x:v>0</x:v>
      </x:c>
      <x:c r="E11" s="38" t="n">
        <x:v>0</x:v>
      </x:c>
      <x:c r="F11" s="38" t="n">
        <x:v>14.4142242944876</x:v>
      </x:c>
      <x:c r="G11" s="38" t="n">
        <x:v>253.4723874302237</x:v>
      </x:c>
      <x:c r="H11" s="39" t="n">
        <x:f>SUM(B11:G11)</x:f>
        <x:v>267.8866117247113</x:v>
      </x:c>
      <x:c r="I11" s="39" t="n">
        <x:f>AVERAGE(B11:G11)</x:f>
        <x:v>44.64776862078522</x:v>
      </x:c>
      <x:c r="J11" s="39" t="n">
        <x:f>G11-B11</x:f>
        <x:v>253.4723874302237</x:v>
      </x:c>
      <x:c r="K11" s="40" t="str">
        <x:f>IF(B11=0,"",G11/B11-1)</x:f>
      </x:c>
    </x:row>
    <x:row r="12">
      <x:c r="A12" s="37" t="str">
        <x:v>dt-prd-microsites-oeqrq2jxadm36</x:v>
      </x:c>
      <x:c r="B12" s="38" t="n">
        <x:v>0</x:v>
      </x:c>
      <x:c r="C12" s="38" t="n">
        <x:v>0</x:v>
      </x:c>
      <x:c r="D12" s="38" t="n">
        <x:v>0</x:v>
      </x:c>
      <x:c r="E12" s="38" t="n">
        <x:v>0</x:v>
      </x:c>
      <x:c r="F12" s="38" t="n">
        <x:v>0.001876</x:v>
      </x:c>
      <x:c r="G12" s="38" t="n">
        <x:v>0.019068</x:v>
      </x:c>
      <x:c r="H12" s="39" t="n">
        <x:f>SUM(B12:G12)</x:f>
        <x:v>0.020944</x:v>
      </x:c>
      <x:c r="I12" s="39" t="n">
        <x:f>AVERAGE(B12:G12)</x:f>
        <x:v>0.0034906666666666667</x:v>
      </x:c>
      <x:c r="J12" s="39" t="n">
        <x:f>G12-B12</x:f>
        <x:v>0.019068</x:v>
      </x:c>
      <x:c r="K12" s="40" t="str">
        <x:f>IF(B12=0,"",G12/B12-1)</x:f>
      </x:c>
    </x:row>
    <x:row r="13">
      <x:c r="A13" s="37" t="str">
        <x:v>dt-shr-tpa-oeqrq2jxadm36</x:v>
      </x:c>
      <x:c r="B13" s="38" t="n">
        <x:v>0</x:v>
      </x:c>
      <x:c r="C13" s="38" t="n">
        <x:v>0.00200051898956299</x:v>
      </x:c>
      <x:c r="D13" s="38" t="n">
        <x:v>0.001750735740661618</x:v>
      </x:c>
      <x:c r="E13" s="38" t="n">
        <x:v>0.0015006604385376</x:v>
      </x:c>
      <x:c r="F13" s="38" t="n">
        <x:v>0.000750366439819335</x:v>
      </x:c>
      <x:c r="G13" s="38" t="n">
        <x:v>0</x:v>
      </x:c>
      <x:c r="H13" s="39" t="n">
        <x:f>SUM(B13:G13)</x:f>
        <x:v>0.006002281608581544</x:v>
      </x:c>
      <x:c r="I13" s="39" t="n">
        <x:f>AVERAGE(B13:G13)</x:f>
        <x:v>0.001000380268096924</x:v>
      </x:c>
      <x:c r="J13" s="39" t="n">
        <x:f>G13-B13</x:f>
        <x:v>0</x:v>
      </x:c>
      <x:c r="K13" s="40" t="str">
        <x:f>IF(B13=0,"",G13/B13-1)</x:f>
      </x:c>
    </x:row>
    <x:row r="14">
      <x:c r="A14" s="37" t="str">
        <x:v>dt-dev-tpa-oeqrq2jxadm36</x:v>
      </x:c>
      <x:c r="B14" s="38" t="n">
        <x:v>196.610763982098</x:v>
      </x:c>
      <x:c r="C14" s="38" t="n">
        <x:v>239.6634161286042</x:v>
      </x:c>
      <x:c r="D14" s="38" t="n">
        <x:v>248.0661333717533</x:v>
      </x:c>
      <x:c r="E14" s="38" t="n">
        <x:v>255.964751218866</x:v>
      </x:c>
      <x:c r="F14" s="38" t="n">
        <x:v>311.3069211119599</x:v>
      </x:c>
      <x:c r="G14" s="38" t="n">
        <x:v>329.5590453159854</x:v>
      </x:c>
      <x:c r="H14" s="39" t="n">
        <x:f>SUM(B14:G14)</x:f>
        <x:v>1581.1710311292668</x:v>
      </x:c>
      <x:c r="I14" s="39" t="n">
        <x:f>AVERAGE(B14:G14)</x:f>
        <x:v>263.5285051882111</x:v>
      </x:c>
      <x:c r="J14" s="39" t="n">
        <x:f>G14-B14</x:f>
        <x:v>132.94828133388737</x:v>
      </x:c>
      <x:c r="K14" s="40" t="n">
        <x:f>IF(B14=0,"",G14/B14-1)</x:f>
        <x:v>0.6762004207765182</x:v>
      </x:c>
    </x:row>
    <x:row r="15">
      <x:c r="A15" s="37" t="str">
        <x:v>dt-tst-tpa-oeqrq2jxadm36</x:v>
      </x:c>
      <x:c r="B15" s="38" t="n">
        <x:v>257.225776366969</x:v>
      </x:c>
      <x:c r="C15" s="38" t="n">
        <x:v>309.3706075340549</x:v>
      </x:c>
      <x:c r="D15" s="38" t="n">
        <x:v>315.8224731196808</x:v>
      </x:c>
      <x:c r="E15" s="38" t="n">
        <x:v>325.723761997585</x:v>
      </x:c>
      <x:c r="F15" s="38" t="n">
        <x:v>320.889315035679</x:v>
      </x:c>
      <x:c r="G15" s="38" t="n">
        <x:v>396.4100968842034</x:v>
      </x:c>
      <x:c r="H15" s="39" t="n">
        <x:f>SUM(B15:G15)</x:f>
        <x:v>1925.4420309381721</x:v>
      </x:c>
      <x:c r="I15" s="39" t="n">
        <x:f>AVERAGE(B15:G15)</x:f>
        <x:v>320.907005156362</x:v>
      </x:c>
      <x:c r="J15" s="39" t="n">
        <x:f>G15-B15</x:f>
        <x:v>139.18432051723443</x:v>
      </x:c>
      <x:c r="K15" s="40" t="n">
        <x:f>IF(B15=0,"",G15/B15-1)</x:f>
        <x:v>0.5410978731721983</x:v>
      </x:c>
    </x:row>
    <x:row r="16">
      <x:c r="A16" s="37" t="str">
        <x:v>dt-prd-tpa-oeqrq2jxadm36</x:v>
      </x:c>
      <x:c r="B16" s="38" t="n">
        <x:v>394.808092158769</x:v>
      </x:c>
      <x:c r="C16" s="38" t="n">
        <x:v>472.9277640531602</x:v>
      </x:c>
      <x:c r="D16" s="38" t="n">
        <x:v>462.7972417616428</x:v>
      </x:c>
      <x:c r="E16" s="38" t="n">
        <x:v>478.083388539665</x:v>
      </x:c>
      <x:c r="F16" s="38" t="n">
        <x:v>462.8872536106941</x:v>
      </x:c>
      <x:c r="G16" s="38" t="n">
        <x:v>548.8598924335673</x:v>
      </x:c>
      <x:c r="H16" s="39" t="n">
        <x:f>SUM(B16:G16)</x:f>
        <x:v>2820.3636325574985</x:v>
      </x:c>
      <x:c r="I16" s="39" t="n">
        <x:f>AVERAGE(B16:G16)</x:f>
        <x:v>470.06060542624977</x:v>
      </x:c>
      <x:c r="J16" s="39" t="n">
        <x:f>G16-B16</x:f>
        <x:v>154.05180027479832</x:v>
      </x:c>
      <x:c r="K16" s="40" t="n">
        <x:f>IF(B16=0,"",G16/B16-1)</x:f>
        <x:v>0.3901941306026919</x:v>
      </x:c>
    </x:row>
    <x:row r="17">
      <x:c r="A17" s="37" t="str">
        <x:v>dt-prd-deployments-001</x:v>
      </x:c>
      <x:c r="B17" s="38" t="n">
        <x:v>0.01424</x:v>
      </x:c>
      <x:c r="C17" s="38" t="n">
        <x:v>0.01616</x:v>
      </x:c>
      <x:c r="D17" s="38" t="n">
        <x:v>0.015668</x:v>
      </x:c>
      <x:c r="E17" s="38" t="n">
        <x:v>0.014448</x:v>
      </x:c>
      <x:c r="F17" s="38" t="n">
        <x:v>0.015596</x:v>
      </x:c>
      <x:c r="G17" s="38" t="n">
        <x:v>0.015848</x:v>
      </x:c>
      <x:c r="H17" s="39" t="n">
        <x:f>SUM(B17:G17)</x:f>
        <x:v>0.09196</x:v>
      </x:c>
      <x:c r="I17" s="39" t="n">
        <x:f>AVERAGE(B17:G17)</x:f>
        <x:v>0.015326666666666667</x:v>
      </x:c>
      <x:c r="J17" s="39" t="n">
        <x:f>G17-B17</x:f>
        <x:v>0.0016080000000000018</x:v>
      </x:c>
      <x:c r="K17" s="40" t="n">
        <x:f>IF(B17=0,"",G17/B17-1)</x:f>
        <x:v>0.11292134831460698</x:v>
      </x:c>
    </x:row>
    <x:row r="18">
      <x:c r="A18" s="37" t="str">
        <x:v>dt-dev-analytics-oeqrq2jxadm36</x:v>
      </x:c>
      <x:c r="B18" s="38" t="n">
        <x:v>4.6368</x:v>
      </x:c>
      <x:c r="C18" s="38" t="n">
        <x:v>5.1336</x:v>
      </x:c>
      <x:c r="D18" s="38" t="n">
        <x:v>4.968</x:v>
      </x:c>
      <x:c r="E18" s="38" t="n">
        <x:v>14.88805311</x:v>
      </x:c>
      <x:c r="F18" s="38" t="n">
        <x:v>6.564879916</x:v>
      </x:c>
      <x:c r="G18" s="38" t="n">
        <x:v>6.7304819004</x:v>
      </x:c>
      <x:c r="H18" s="39" t="n">
        <x:f>SUM(B18:G18)</x:f>
        <x:v>42.9218149264</x:v>
      </x:c>
      <x:c r="I18" s="39" t="n">
        <x:f>AVERAGE(B18:G18)</x:f>
        <x:v>7.1536358210666675</x:v>
      </x:c>
      <x:c r="J18" s="39" t="n">
        <x:f>G18-B18</x:f>
        <x:v>2.0936819004</x:v>
      </x:c>
      <x:c r="K18" s="40" t="n">
        <x:f>IF(B18=0,"",G18/B18-1)</x:f>
        <x:v>0.45153595160455495</x:v>
      </x:c>
    </x:row>
    <x:row r="19">
      <x:c r="A19" s="37" t="str">
        <x:v>dt-tst-analytics-oeqrq2jxadm36</x:v>
      </x:c>
      <x:c r="B19" s="38" t="n">
        <x:v>4.6368</x:v>
      </x:c>
      <x:c r="C19" s="38" t="n">
        <x:v>5.1336</x:v>
      </x:c>
      <x:c r="D19" s="38" t="n">
        <x:v>4.968</x:v>
      </x:c>
      <x:c r="E19" s="38" t="n">
        <x:v>5.1336</x:v>
      </x:c>
      <x:c r="F19" s="38" t="n">
        <x:v>4.968</x:v>
      </x:c>
      <x:c r="G19" s="38" t="n">
        <x:v>5.1336</x:v>
      </x:c>
      <x:c r="H19" s="39" t="n">
        <x:f>SUM(B19:G19)</x:f>
        <x:v>29.9736</x:v>
      </x:c>
      <x:c r="I19" s="39" t="n">
        <x:f>AVERAGE(B19:G19)</x:f>
        <x:v>4.9956000000000005</x:v>
      </x:c>
      <x:c r="J19" s="39" t="n">
        <x:f>G19-B19</x:f>
        <x:v>0.49680000000000035</x:v>
      </x:c>
      <x:c r="K19" s="40" t="n">
        <x:f>IF(B19=0,"",G19/B19-1)</x:f>
        <x:v>0.1071428571428572</x:v>
      </x:c>
    </x:row>
    <x:row r="20">
      <x:c r="A20" s="37" t="str">
        <x:v>dt-prd-analytics-oeqrq2jxadm36</x:v>
      </x:c>
      <x:c r="B20" s="38" t="n">
        <x:v>2229.61978232602</x:v>
      </x:c>
      <x:c r="C20" s="38" t="n">
        <x:v>2452.58233536255</x:v>
      </x:c>
      <x:c r="D20" s="38" t="n">
        <x:v>2426.166266114789</x:v>
      </x:c>
      <x:c r="E20" s="38" t="n">
        <x:v>2572.39353899388</x:v>
      </x:c>
      <x:c r="F20" s="38" t="n">
        <x:v>2474.7626811483897</x:v>
      </x:c>
      <x:c r="G20" s="38" t="n">
        <x:v>384.5585881738757</x:v>
      </x:c>
      <x:c r="H20" s="39" t="n">
        <x:f>SUM(B20:G20)</x:f>
        <x:v>12540.083192119504</x:v>
      </x:c>
      <x:c r="I20" s="39" t="n">
        <x:f>AVERAGE(B20:G20)</x:f>
        <x:v>2090.013865353251</x:v>
      </x:c>
      <x:c r="J20" s="39" t="n">
        <x:f>G20-B20</x:f>
        <x:v>-1845.0611941521443</x:v>
      </x:c>
      <x:c r="K20" s="40" t="n">
        <x:f>IF(B20=0,"",G20/B20-1)</x:f>
        <x:v>-0.82752279504235</x:v>
      </x:c>
    </x:row>
    <x:row r="21">
      <x:c r="A21" s="37" t="str">
        <x:v>dt-workday-oeqrq2jxadm36</x:v>
      </x:c>
      <x:c r="B21" s="38" t="n">
        <x:v>0.024368</x:v>
      </x:c>
      <x:c r="C21" s="38" t="n">
        <x:v>0.027112</x:v>
      </x:c>
      <x:c r="D21" s="38" t="n">
        <x:v>0.026761</x:v>
      </x:c>
      <x:c r="E21" s="38" t="n">
        <x:v>0.026607</x:v>
      </x:c>
      <x:c r="F21" s="38" t="n">
        <x:v>0.02619</x:v>
      </x:c>
      <x:c r="G21" s="38" t="n">
        <x:v>0.025242</x:v>
      </x:c>
      <x:c r="H21" s="39" t="n">
        <x:f>SUM(B21:G21)</x:f>
        <x:v>0.15627999999999997</x:v>
      </x:c>
      <x:c r="I21" s="39" t="n">
        <x:f>AVERAGE(B21:G21)</x:f>
        <x:v>0.026046666666666662</x:v>
      </x:c>
      <x:c r="J21" s="39" t="n">
        <x:f>G21-B21</x:f>
        <x:v>0.0008739999999999998</x:v>
      </x:c>
      <x:c r="K21" s="40" t="n">
        <x:f>IF(B21=0,"",G21/B21-1)</x:f>
        <x:v>0.03586671043992129</x:v>
      </x:c>
    </x:row>
    <x:row r="22">
      <x:c r="A22" s="37" t="str">
        <x:v>dt-prd-connectivity-oeqrq2jxadm36</x:v>
      </x:c>
      <x:c r="B22" s="38" t="n">
        <x:v>1280.26655411357</x:v>
      </x:c>
      <x:c r="C22" s="38" t="n">
        <x:v>1269.606305703914</x:v>
      </x:c>
      <x:c r="D22" s="38" t="n">
        <x:v>1226.57903920342</x:v>
      </x:c>
      <x:c r="E22" s="38" t="n">
        <x:v>1268.59437203796</x:v>
      </x:c>
      <x:c r="F22" s="38" t="n">
        <x:v>1231.6025038723697</x:v>
      </x:c>
      <x:c r="G22" s="38" t="n">
        <x:v>1379.399445469144</x:v>
      </x:c>
      <x:c r="H22" s="39" t="n">
        <x:f>SUM(B22:G22)</x:f>
        <x:v>7656.0482204003765</x:v>
      </x:c>
      <x:c r="I22" s="39" t="n">
        <x:f>AVERAGE(B22:G22)</x:f>
        <x:v>1276.008036733396</x:v>
      </x:c>
      <x:c r="J22" s="39" t="n">
        <x:f>G22-B22</x:f>
        <x:v>99.13289135557397</x:v>
      </x:c>
      <x:c r="K22" s="40" t="n">
        <x:f>IF(B22=0,"",G22/B22-1)</x:f>
        <x:v>0.07743144662887147</x:v>
      </x:c>
    </x:row>
    <x:row r="23">
      <x:c r="A23" s="37" t="str">
        <x:v>dt-prd-logging-oeqrq2jxadm36</x:v>
      </x:c>
      <x:c r="B23" s="38" t="n">
        <x:v>1729.04354363938</x:v>
      </x:c>
      <x:c r="C23" s="38" t="n">
        <x:v>1953.338964958038</x:v>
      </x:c>
      <x:c r="D23" s="38" t="n">
        <x:v>2038.06828142813</x:v>
      </x:c>
      <x:c r="E23" s="38" t="n">
        <x:v>2929.84672901933</x:v>
      </x:c>
      <x:c r="F23" s="38" t="n">
        <x:v>2654.5127644375975</x:v>
      </x:c>
      <x:c r="G23" s="38" t="n">
        <x:v>2790.079938345505</x:v>
      </x:c>
      <x:c r="H23" s="39" t="n">
        <x:f>SUM(B23:G23)</x:f>
        <x:v>14094.89022182798</x:v>
      </x:c>
      <x:c r="I23" s="39" t="n">
        <x:f>AVERAGE(B23:G23)</x:f>
        <x:v>2349.1483703046633</x:v>
      </x:c>
      <x:c r="J23" s="39" t="n">
        <x:f>G23-B23</x:f>
        <x:v>1061.036394706125</x:v>
      </x:c>
      <x:c r="K23" s="40" t="n">
        <x:f>IF(B23=0,"",G23/B23-1)</x:f>
        <x:v>0.613655103487331</x:v>
      </x:c>
    </x:row>
    <x:row r="24">
      <x:c r="A24" s="37" t="str">
        <x:v>dt-prd-management-oeqrq2jxadm36</x:v>
      </x:c>
      <x:c r="B24" s="38" t="n">
        <x:v>525.178313588539</x:v>
      </x:c>
      <x:c r="C24" s="38" t="n">
        <x:v>709.6200581153147</x:v>
      </x:c>
      <x:c r="D24" s="38" t="n">
        <x:v>560.884901479842</x:v>
      </x:c>
      <x:c r="E24" s="38" t="n">
        <x:v>837.836546469729</x:v>
      </x:c>
      <x:c r="F24" s="38" t="n">
        <x:v>962.1600583470716</x:v>
      </x:c>
      <x:c r="G24" s="38" t="n">
        <x:v>1036.6947886350865</x:v>
      </x:c>
      <x:c r="H24" s="39" t="n">
        <x:f>SUM(B24:G24)</x:f>
        <x:v>4632.374666635583</x:v>
      </x:c>
      <x:c r="I24" s="39" t="n">
        <x:f>AVERAGE(B24:G24)</x:f>
        <x:v>772.0624444392638</x:v>
      </x:c>
      <x:c r="J24" s="39" t="n">
        <x:f>G24-B24</x:f>
        <x:v>511.5164750465475</x:v>
      </x:c>
      <x:c r="K24" s="40" t="n">
        <x:f>IF(B24=0,"",G24/B24-1)</x:f>
        <x:v>0.9739862858223518</x:v>
      </x:c>
    </x:row>
    <x:row r="25">
      <x:c r="A25" s="37" t="str">
        <x:v>dt-prd-azuredevops-oeqrq2jxadm36</x:v>
      </x:c>
      <x:c r="B25" s="38" t="n">
        <x:v>742.933884778204</x:v>
      </x:c>
      <x:c r="C25" s="38" t="n">
        <x:v>1082.702793372334</x:v>
      </x:c>
      <x:c r="D25" s="38" t="n">
        <x:v>1128.003111397799</x:v>
      </x:c>
      <x:c r="E25" s="38" t="n">
        <x:v>1164.65974239253</x:v>
      </x:c>
      <x:c r="F25" s="38" t="n">
        <x:v>1184.7058499555883</x:v>
      </x:c>
      <x:c r="G25" s="38" t="n">
        <x:v>1554.692993700159</x:v>
      </x:c>
      <x:c r="H25" s="39" t="n">
        <x:f>SUM(B25:G25)</x:f>
        <x:v>6857.698375596614</x:v>
      </x:c>
      <x:c r="I25" s="39" t="n">
        <x:f>AVERAGE(B25:G25)</x:f>
        <x:v>1142.9497292661024</x:v>
      </x:c>
      <x:c r="J25" s="39" t="n">
        <x:f>G25-B25</x:f>
        <x:v>811.759108921955</x:v>
      </x:c>
      <x:c r="K25" s="40" t="n">
        <x:f>IF(B25=0,"",G25/B25-1)</x:f>
        <x:v>1.0926397699094021</x:v>
      </x:c>
    </x:row>
    <x:row r="26">
      <x:c r="A26" s="37" t="str">
        <x:v>dt-sandbox</x:v>
      </x:c>
      <x:c r="B26" s="38" t="n">
        <x:v>13.9055184294</x:v>
      </x:c>
      <x:c r="C26" s="38" t="n">
        <x:v>15.391169261</x:v>
      </x:c>
      <x:c r="D26" s="38" t="n">
        <x:v>15.2210889526</x:v>
      </x:c>
      <x:c r="E26" s="38" t="n">
        <x:v>15.3150390247</x:v>
      </x:c>
      <x:c r="F26" s="38" t="n">
        <x:v>15.0146161199</x:v>
      </x:c>
      <x:c r="G26" s="38" t="n">
        <x:v>15.5319913525</x:v>
      </x:c>
      <x:c r="H26" s="39" t="n">
        <x:f>SUM(B26:G26)</x:f>
        <x:v>90.3794231401</x:v>
      </x:c>
      <x:c r="I26" s="39" t="n">
        <x:f>AVERAGE(B26:G26)</x:f>
        <x:v>15.063237190016666</x:v>
      </x:c>
      <x:c r="J26" s="39" t="n">
        <x:f>G26-B26</x:f>
        <x:v>1.6264729230999997</x:v>
      </x:c>
      <x:c r="K26" s="40" t="n">
        <x:f>IF(B26=0,"",G26/B26-1)</x:f>
        <x:v>0.11696600391835799</x:v>
      </x:c>
    </x:row>
    <x:row r="27">
      <x:c r="A27" s="31" t="str">
        <x:v>TOTAL</x:v>
      </x:c>
      <x:c r="B27" s="31" t="n">
        <x:f>SUM(B5:B26)</x:f>
        <x:v>9582.947245173464</x:v>
      </x:c>
      <x:c r="C27" s="31" t="n">
        <x:f>SUM(C5:C26)</x:f>
        <x:v>11903.54767346683</x:v>
      </x:c>
      <x:c r="D27" s="31" t="n">
        <x:f>SUM(D5:D26)</x:f>
        <x:v>11693.695027014195</x:v>
      </x:c>
      <x:c r="E27" s="31" t="n">
        <x:f>SUM(E5:E26)</x:f>
        <x:v>13211.132468448133</x:v>
      </x:c>
      <x:c r="F27" s="31" t="n">
        <x:f>SUM(F5:F26)</x:f>
        <x:v>13352.369410184629</x:v>
      </x:c>
      <x:c r="G27" s="31" t="n">
        <x:f>SUM(G5:G26)</x:f>
        <x:v>13200.727706881338</x:v>
      </x:c>
      <x:c r="H27" s="32" t="n">
        <x:f>SUM(H5:H26)</x:f>
        <x:v>72944.4195311686</x:v>
      </x:c>
      <x:c r="I27" s="32" t="n">
        <x:f>AVERAGE(B27:G27)</x:f>
        <x:v>12157.403255194766</x:v>
      </x:c>
      <x:c r="J27" s="32" t="n">
        <x:f>G27-B27</x:f>
        <x:v>3617.7804617078746</x:v>
      </x:c>
      <x:c r="K27" s="33" t="n">
        <x:f>IF(B27=0,"",G27/B27-1)</x:f>
        <x:v>0.3775227358712636</x:v>
      </x:c>
    </x:row>
  </x:sheetData>
  <x:mergeCells>
    <x:mergeCell ref="A1:K2"/>
    <x:mergeCell ref="A3:K3"/>
  </x:mergeCells>
  <x:conditionalFormatting sqref="K5:K26">
    <x:cfRule type="cellIs" dxfId="0" priority="1" operator="greaterThan">
      <x:formula>0</x:formula>
    </x:cfRule>
    <x:cfRule type="cellIs" dxfId="1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97524cb910e490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7" hidden="0" customWidth="1"/>
    <x:col min="5" max="5" width="14" hidden="0" customWidth="1"/>
  </x:cols>
  <x:sheetData>
    <x:row r="1" ht="28" customHeight="1">
      <x:c r="A1" s="3" t="str">
        <x:v>Monthly Cost Summary</x:v>
      </x:c>
      <x:c r="B1" s="3" t="str">
        <x:v>Monthly Cost Summary</x:v>
      </x:c>
      <x:c r="C1" s="3" t="str">
        <x:v>Monthly Cost Summary</x:v>
      </x:c>
      <x:c r="D1" s="3" t="str">
        <x:v>Monthly Cost Summary</x:v>
      </x:c>
      <x:c r="E1" s="3" t="str">
        <x:v>Monthly Cost Summary</x:v>
      </x:c>
    </x:row>
    <x:row r="2" ht="28" customHeight="1">
      <x:c r="A2" s="3" t="str">
        <x:v>Monthly Cost Summary</x:v>
      </x:c>
      <x:c r="B2" s="3" t="str">
        <x:v>Monthly Cost Summary</x:v>
      </x:c>
      <x:c r="C2" s="3" t="str">
        <x:v>Monthly Cost Summary</x:v>
      </x:c>
      <x:c r="D2" s="3" t="str">
        <x:v>Monthly Cost Summary</x:v>
      </x:c>
      <x:c r="E2" s="3" t="str">
        <x:v>Monthly Cost Summary</x:v>
      </x:c>
    </x:row>
    <x:row r="3" ht="22" customHeight="1">
      <x:c r="A3" s="6" t="str">
        <x:v>Formula-driven aggregation from the Subscription Costs sheet</x:v>
      </x:c>
      <x:c r="B3" s="6" t="str">
        <x:v>Formula-driven aggregation from the Subscription Costs sheet</x:v>
      </x:c>
      <x:c r="C3" s="6" t="str">
        <x:v>Formula-driven aggregation from the Subscription Costs sheet</x:v>
      </x:c>
      <x:c r="D3" s="6" t="str">
        <x:v>Formula-driven aggregation from the Subscription Costs sheet</x:v>
      </x:c>
      <x:c r="E3" s="6" t="str">
        <x:v>Formula-driven aggregation from the Subscription Costs sheet</x:v>
      </x:c>
    </x:row>
    <x:row r="4" ht="24" customHeight="1">
      <x:c r="A4" s="18" t="str">
        <x:v>Billing Month</x:v>
      </x:c>
      <x:c r="B4" s="19" t="str">
        <x:v>Total Cost</x:v>
      </x:c>
      <x:c r="C4" s="19" t="str">
        <x:v>MoM $</x:v>
      </x:c>
      <x:c r="D4" s="19" t="str">
        <x:v>MoM %</x:v>
      </x:c>
      <x:c r="E4" s="20" t="str">
        <x:v>Period</x:v>
      </x:c>
    </x:row>
    <x:row r="5">
      <x:c r="A5" s="42" t="n">
        <x:v>46054</x:v>
      </x:c>
      <x:c r="B5" s="43" t="n">
        <x:f>'Subscription Costs'!B27</x:f>
        <x:v>9582.947245173464</x:v>
      </x:c>
      <x:c r="C5" s="43"/>
      <x:c r="D5" s="44"/>
      <x:c r="E5" s="45" t="str">
        <x:v>Feb–Apr</x:v>
      </x:c>
    </x:row>
    <x:row r="6">
      <x:c r="A6" s="46" t="n">
        <x:v>46082</x:v>
      </x:c>
      <x:c r="B6" s="39" t="n">
        <x:f>'Subscription Costs'!C27</x:f>
        <x:v>11903.54767346683</x:v>
      </x:c>
      <x:c r="C6" s="39" t="n">
        <x:f>B6-B5</x:f>
        <x:v>2320.6004282933663</x:v>
      </x:c>
      <x:c r="D6" s="40" t="n">
        <x:f>IF(B5=0,"",B6/B5-1)</x:f>
        <x:v>0.242159365894679</x:v>
      </x:c>
      <x:c r="E6" s="47" t="str">
        <x:v>Feb–Apr</x:v>
      </x:c>
    </x:row>
    <x:row r="7">
      <x:c r="A7" s="46" t="n">
        <x:v>46113</x:v>
      </x:c>
      <x:c r="B7" s="39" t="n">
        <x:f>'Subscription Costs'!D27</x:f>
        <x:v>11693.695027014195</x:v>
      </x:c>
      <x:c r="C7" s="39" t="n">
        <x:f>B7-B6</x:f>
        <x:v>-209.85264645263487</x:v>
      </x:c>
      <x:c r="D7" s="40" t="n">
        <x:f>IF(B6=0,"",B7/B6-1)</x:f>
        <x:v>-0.017629420422316522</x:v>
      </x:c>
      <x:c r="E7" s="47" t="str">
        <x:v>Feb–Apr</x:v>
      </x:c>
    </x:row>
    <x:row r="8">
      <x:c r="A8" s="46" t="n">
        <x:v>46143</x:v>
      </x:c>
      <x:c r="B8" s="39" t="n">
        <x:f>'Subscription Costs'!E27</x:f>
        <x:v>13211.132468448133</x:v>
      </x:c>
      <x:c r="C8" s="39" t="n">
        <x:f>B8-B7</x:f>
        <x:v>1517.4374414339381</x:v>
      </x:c>
      <x:c r="D8" s="40" t="n">
        <x:f>IF(B7=0,"",B8/B7-1)</x:f>
        <x:v>0.12976543666723206</x:v>
      </x:c>
      <x:c r="E8" s="47" t="str">
        <x:v>May–Jul</x:v>
      </x:c>
    </x:row>
    <x:row r="9">
      <x:c r="A9" s="46" t="n">
        <x:v>46174</x:v>
      </x:c>
      <x:c r="B9" s="39" t="n">
        <x:f>'Subscription Costs'!F27</x:f>
        <x:v>13352.369410184629</x:v>
      </x:c>
      <x:c r="C9" s="39" t="n">
        <x:f>B9-B8</x:f>
        <x:v>141.23694173649528</x:v>
      </x:c>
      <x:c r="D9" s="40" t="n">
        <x:f>IF(B8=0,"",B9/B8-1)</x:f>
        <x:v>0.010690752066396136</x:v>
      </x:c>
      <x:c r="E9" s="47" t="str">
        <x:v>May–Jul</x:v>
      </x:c>
    </x:row>
    <x:row r="10">
      <x:c r="A10" s="46" t="n">
        <x:v>46204</x:v>
      </x:c>
      <x:c r="B10" s="39" t="n">
        <x:f>'Subscription Costs'!G27</x:f>
        <x:v>13200.727706881338</x:v>
      </x:c>
      <x:c r="C10" s="39" t="n">
        <x:f>B10-B9</x:f>
        <x:v>-151.64170330329034</x:v>
      </x:c>
      <x:c r="D10" s="40" t="n">
        <x:f>IF(B9=0,"",B10/B9-1)</x:f>
        <x:v>-0.011356913417001846</x:v>
      </x:c>
      <x:c r="E10" s="47" t="str">
        <x:v>May–Jul</x:v>
      </x:c>
    </x:row>
    <x:row r="13">
      <x:c r="A13" s="50" t="str">
        <x:v>Three-Month Period Comparison</x:v>
      </x:c>
      <x:c r="B13" s="51"/>
      <x:c r="C13" s="51"/>
      <x:c r="D13" s="52"/>
    </x:row>
    <x:row r="14" ht="24" customHeight="1">
      <x:c r="A14" s="18" t="str">
        <x:v>Period</x:v>
      </x:c>
      <x:c r="B14" s="19" t="str">
        <x:v>Total Cost</x:v>
      </x:c>
      <x:c r="C14" s="19" t="str">
        <x:v>Average / Month</x:v>
      </x:c>
      <x:c r="D14" s="20" t="str">
        <x:v>Change vs Prior</x:v>
      </x:c>
    </x:row>
    <x:row r="15">
      <x:c r="A15" s="45" t="str">
        <x:v>Feb–Apr</x:v>
      </x:c>
      <x:c r="B15" s="43" t="n">
        <x:f>SUM(B5:B7)</x:f>
        <x:v>33180.18994565449</x:v>
      </x:c>
      <x:c r="C15" s="43" t="n">
        <x:f>AVERAGE(B5:B7)</x:f>
        <x:v>11060.063315218164</x:v>
      </x:c>
      <x:c r="D15" s="44"/>
    </x:row>
    <x:row r="16">
      <x:c r="A16" s="47" t="str">
        <x:v>May–Jul</x:v>
      </x:c>
      <x:c r="B16" s="39" t="n">
        <x:f>SUM(B8:B10)</x:f>
        <x:v>39764.2295855141</x:v>
      </x:c>
      <x:c r="C16" s="39" t="n">
        <x:f>AVERAGE(B8:B10)</x:f>
        <x:v>13254.743195171366</x:v>
      </x:c>
      <x:c r="D16" s="40" t="n">
        <x:f>IF(C15=0,"",C16/C15-1)</x:f>
        <x:v>0.19843284956004004</x:v>
      </x:c>
    </x:row>
  </x:sheetData>
  <x:mergeCells>
    <x:mergeCell ref="A1:E2"/>
    <x:mergeCell ref="A3:E3"/>
    <x:mergeCell ref="A13:D13"/>
  </x:mergeCells>
  <x:conditionalFormatting sqref="D6:D10">
    <x:cfRule type="cellIs" dxfId="2" priority="1" operator="greaterThan">
      <x:formula>0</x:formula>
    </x:cfRule>
    <x:cfRule type="cellIs" dxfId="3" priority="2" operator="lessThan">
      <x:formula>0</x:formula>
    </x:cfRule>
  </x:conditionalFormatting>
  <x:pageMargins left="0.7" right="0.7" top="0.75" bottom="0.75" header="0.3" footer="0.3"/>
  <x:tableParts count="2">
    <x:tablePart xmlns:r="http://schemas.openxmlformats.org/officeDocument/2006/relationships" r:id="R393f87d5d101485b"/>
    <x:tablePart xmlns:r="http://schemas.openxmlformats.org/officeDocument/2006/relationships" r:id="R31f3ba397fbc49a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3" hidden="0" customWidth="1"/>
    <x:col min="3" max="3" width="14" hidden="0" customWidth="1"/>
    <x:col min="4" max="4" width="39" hidden="0" customWidth="1"/>
    <x:col min="5" max="5" width="16" hidden="0" customWidth="1"/>
    <x:col min="6" max="6" width="31" hidden="0" customWidth="1"/>
    <x:col min="7" max="7" width="55" hidden="0" customWidth="1"/>
    <x:col min="8" max="8" width="46" hidden="0" customWidth="1"/>
  </x:cols>
  <x:sheetData>
    <x:row r="1" ht="28" customHeight="1">
      <x:c r="A1" s="3" t="str">
        <x:v>Sources, Definitions &amp; Reconciliation Checks</x:v>
      </x:c>
      <x:c r="B1" s="3" t="str">
        <x:v>Sources, Definitions &amp; Reconciliation Checks</x:v>
      </x:c>
      <x:c r="C1" s="3" t="str">
        <x:v>Sources, Definitions &amp; Reconciliation Checks</x:v>
      </x:c>
      <x:c r="D1" s="3" t="str">
        <x:v>Sources, Definitions &amp; Reconciliation Checks</x:v>
      </x:c>
      <x:c r="E1" s="3" t="str">
        <x:v>Sources, Definitions &amp; Reconciliation Checks</x:v>
      </x:c>
      <x:c r="F1" s="3" t="str">
        <x:v>Sources, Definitions &amp; Reconciliation Checks</x:v>
      </x:c>
      <x:c r="G1" s="3" t="str">
        <x:v>Sources, Definitions &amp; Reconciliation Checks</x:v>
      </x:c>
      <x:c r="H1" s="3" t="str">
        <x:v>Sources, Definitions &amp; Reconciliation Checks</x:v>
      </x:c>
    </x:row>
    <x:row r="2" ht="28" customHeight="1">
      <x:c r="A2" s="3" t="str">
        <x:v>Sources, Definitions &amp; Reconciliation Checks</x:v>
      </x:c>
      <x:c r="B2" s="3" t="str">
        <x:v>Sources, Definitions &amp; Reconciliation Checks</x:v>
      </x:c>
      <x:c r="C2" s="3" t="str">
        <x:v>Sources, Definitions &amp; Reconciliation Checks</x:v>
      </x:c>
      <x:c r="D2" s="3" t="str">
        <x:v>Sources, Definitions &amp; Reconciliation Checks</x:v>
      </x:c>
      <x:c r="E2" s="3" t="str">
        <x:v>Sources, Definitions &amp; Reconciliation Checks</x:v>
      </x:c>
      <x:c r="F2" s="3" t="str">
        <x:v>Sources, Definitions &amp; Reconciliation Checks</x:v>
      </x:c>
      <x:c r="G2" s="3" t="str">
        <x:v>Sources, Definitions &amp; Reconciliation Checks</x:v>
      </x:c>
      <x:c r="H2" s="3" t="str">
        <x:v>Sources, Definitions &amp; Reconciliation Checks</x:v>
      </x:c>
    </x:row>
    <x:row r="3" ht="22" customHeight="1">
      <x:c r="A3" s="6" t="str">
        <x:v>Audit trail for the February–July 2026 Azure cost workbook</x:v>
      </x:c>
      <x:c r="B3" s="6" t="str">
        <x:v>Audit trail for the February–July 2026 Azure cost workbook</x:v>
      </x:c>
      <x:c r="C3" s="6" t="str">
        <x:v>Audit trail for the February–July 2026 Azure cost workbook</x:v>
      </x:c>
      <x:c r="D3" s="6" t="str">
        <x:v>Audit trail for the February–July 2026 Azure cost workbook</x:v>
      </x:c>
      <x:c r="E3" s="6" t="str">
        <x:v>Audit trail for the February–July 2026 Azure cost workbook</x:v>
      </x:c>
      <x:c r="F3" s="6" t="str">
        <x:v>Audit trail for the February–July 2026 Azure cost workbook</x:v>
      </x:c>
      <x:c r="G3" s="6" t="str">
        <x:v>Audit trail for the February–July 2026 Azure cost workbook</x:v>
      </x:c>
      <x:c r="H3" s="6" t="str">
        <x:v>Audit trail for the February–July 2026 Azure cost workbook</x:v>
      </x:c>
    </x:row>
    <x:row r="4" ht="24" customHeight="1">
      <x:c r="A4" s="18" t="str">
        <x:v>Item</x:v>
      </x:c>
      <x:c r="B4" s="19" t="str">
        <x:v>Value</x:v>
      </x:c>
      <x:c r="C4" s="19" t="str">
        <x:v>Units</x:v>
      </x:c>
      <x:c r="D4" s="19" t="str">
        <x:v>Period / As-of</x:v>
      </x:c>
      <x:c r="E4" s="19" t="str">
        <x:v>Source Type</x:v>
      </x:c>
      <x:c r="F4" s="19" t="str">
        <x:v>Source Name</x:v>
      </x:c>
      <x:c r="G4" s="19" t="str">
        <x:v>Reference</x:v>
      </x:c>
      <x:c r="H4" s="20" t="str">
        <x:v>Notes</x:v>
      </x:c>
    </x:row>
    <x:row r="5" ht="52" customHeight="1">
      <x:c r="A5" s="99" t="str">
        <x:v>Subscription scope</x:v>
      </x:c>
      <x:c r="B5" s="99" t="str">
        <x:v>22 enabled subscriptions</x:v>
      </x:c>
      <x:c r="C5" s="99" t="str">
        <x:v>count</x:v>
      </x:c>
      <x:c r="D5" s="99" t="str">
        <x:v>2026-09-01</x:v>
      </x:c>
      <x:c r="E5" s="99" t="str">
        <x:v>Local attachment</x:v>
      </x:c>
      <x:c r="F5" s="99" t="str">
        <x:v>az-subscriptions.json</x:v>
      </x:c>
      <x:c r="G5" s="99" t="str">
        <x:v>D:/codes/Azure/Output/az-subscriptions.json</x:v>
      </x:c>
      <x:c r="H5" s="99" t="str">
        <x:v>Matched to the signed-in Azure CLI account list.</x:v>
      </x:c>
    </x:row>
    <x:row r="6" ht="52" customHeight="1">
      <x:c r="A6" s="100" t="str">
        <x:v>Cost values</x:v>
      </x:c>
      <x:c r="B6" s="100" t="str">
        <x:v>Usage / PreTaxCost</x:v>
      </x:c>
      <x:c r="C6" s="100" t="str">
        <x:v>USD</x:v>
      </x:c>
      <x:c r="D6" s="100" t="str">
        <x:v>2026-02-01 to 2026-07-31</x:v>
      </x:c>
      <x:c r="E6" s="100" t="str">
        <x:v>Azure API</x:v>
      </x:c>
      <x:c r="F6" s="100" t="str">
        <x:v>Cost Management Query API</x:v>
      </x:c>
      <x:c r="G6" s="100" t="str">
        <x:v>https://learn.microsoft.com/en-us/rest/api/cost-management/query/usage?view=rest-cost-management-2025-03-01</x:v>
      </x:c>
      <x:c r="H6" s="100" t="str">
        <x:v>Usage is equivalent to ActualCost; values are before tax.</x:v>
      </x:c>
    </x:row>
    <x:row r="7" ht="52" customHeight="1">
      <x:c r="A7" s="100" t="str">
        <x:v>Refresh</x:v>
      </x:c>
      <x:c r="B7" s="101" t="n">
        <x:v>46266.21608796297</x:v>
      </x:c>
      <x:c r="C7" s="100" t="str">
        <x:v>UTC</x:v>
      </x:c>
      <x:c r="D7" s="100" t="str">
        <x:v>2026-09-01</x:v>
      </x:c>
      <x:c r="E7" s="100" t="str">
        <x:v>Live query</x:v>
      </x:c>
      <x:c r="F7" s="100" t="str">
        <x:v>Azure CLI authenticated Cost Management queries</x:v>
      </x:c>
      <x:c r="G7" s="100" t="str">
        <x:v>Subscription scope</x:v>
      </x:c>
      <x:c r="H7" s="100" t="str">
        <x:v>A missing cost row for a successful query is represented as zero.</x:v>
      </x:c>
    </x:row>
    <x:row r="9">
      <x:c r="A9" s="50" t="str">
        <x:v>MODEL STATUS</x:v>
      </x:c>
      <x:c r="B9" s="51"/>
      <x:c r="C9" s="51"/>
      <x:c r="D9" s="52"/>
      <x:c r="F9" s="50" t="str">
        <x:v>Overall Status</x:v>
      </x:c>
      <x:c r="G9" s="51"/>
      <x:c r="H9" s="52"/>
    </x:row>
    <x:row r="10" ht="24" customHeight="1">
      <x:c r="A10" s="18" t="str">
        <x:v>Check</x:v>
      </x:c>
      <x:c r="B10" s="19" t="str">
        <x:v>Status</x:v>
      </x:c>
      <x:c r="C10" s="19" t="str">
        <x:v>Delta</x:v>
      </x:c>
      <x:c r="D10" s="20" t="str">
        <x:v>Notes</x:v>
      </x:c>
      <x:c r="F10" s="116" t="str">
        <x:f>IF(COUNTIF(B11:B17,"FAIL")=0,"PASS","FAIL")</x:f>
        <x:v>PASS</x:v>
      </x:c>
      <x:c r="G10" s="117"/>
      <x:c r="H10" s="118"/>
    </x:row>
    <x:row r="11">
      <x:c r="A11" s="45" t="str">
        <x:v>February total</x:v>
      </x:c>
      <x:c r="B11" s="45" t="str">
        <x:f>IF(ABS(C11)&lt;0.01,"PASS","FAIL")</x:f>
        <x:v>PASS</x:v>
      </x:c>
      <x:c r="C11" s="43" t="n">
        <x:f>'Monthly Summary'!B5-'Subscription Costs'!B27</x:f>
        <x:v>0</x:v>
      </x:c>
      <x:c r="D11" s="45" t="str">
        <x:v>Monthly total equals subscription rollup.</x:v>
      </x:c>
      <x:c r="F11" s="119"/>
      <x:c r="G11" s="120"/>
      <x:c r="H11" s="121"/>
    </x:row>
    <x:row r="12">
      <x:c r="A12" s="47" t="str">
        <x:v>March total</x:v>
      </x:c>
      <x:c r="B12" s="47" t="str">
        <x:f>IF(ABS(C12)&lt;0.01,"PASS","FAIL")</x:f>
        <x:v>PASS</x:v>
      </x:c>
      <x:c r="C12" s="39" t="n">
        <x:f>'Monthly Summary'!B6-'Subscription Costs'!C27</x:f>
        <x:v>0</x:v>
      </x:c>
      <x:c r="D12" s="47" t="str">
        <x:v>Monthly total equals subscription rollup.</x:v>
      </x:c>
    </x:row>
    <x:row r="13">
      <x:c r="A13" s="47" t="str">
        <x:v>April total</x:v>
      </x:c>
      <x:c r="B13" s="47" t="str">
        <x:f>IF(ABS(C13)&lt;0.01,"PASS","FAIL")</x:f>
        <x:v>PASS</x:v>
      </x:c>
      <x:c r="C13" s="39" t="n">
        <x:f>'Monthly Summary'!B7-'Subscription Costs'!D27</x:f>
        <x:v>0</x:v>
      </x:c>
      <x:c r="D13" s="47" t="str">
        <x:v>Monthly total equals subscription rollup.</x:v>
      </x:c>
    </x:row>
    <x:row r="14">
      <x:c r="A14" s="47" t="str">
        <x:v>May total</x:v>
      </x:c>
      <x:c r="B14" s="47" t="str">
        <x:f>IF(ABS(C14)&lt;0.01,"PASS","FAIL")</x:f>
        <x:v>PASS</x:v>
      </x:c>
      <x:c r="C14" s="39" t="n">
        <x:f>'Monthly Summary'!B8-'Subscription Costs'!E27</x:f>
        <x:v>0</x:v>
      </x:c>
      <x:c r="D14" s="47" t="str">
        <x:v>Monthly total equals subscription rollup.</x:v>
      </x:c>
    </x:row>
    <x:row r="15">
      <x:c r="A15" s="47" t="str">
        <x:v>June total</x:v>
      </x:c>
      <x:c r="B15" s="47" t="str">
        <x:f>IF(ABS(C15)&lt;0.01,"PASS","FAIL")</x:f>
        <x:v>PASS</x:v>
      </x:c>
      <x:c r="C15" s="39" t="n">
        <x:f>'Monthly Summary'!B9-'Subscription Costs'!F27</x:f>
        <x:v>0</x:v>
      </x:c>
      <x:c r="D15" s="47" t="str">
        <x:v>Monthly total equals subscription rollup.</x:v>
      </x:c>
    </x:row>
    <x:row r="16">
      <x:c r="A16" s="47" t="str">
        <x:v>July total</x:v>
      </x:c>
      <x:c r="B16" s="47" t="str">
        <x:f>IF(ABS(C16)&lt;0.01,"PASS","FAIL")</x:f>
        <x:v>PASS</x:v>
      </x:c>
      <x:c r="C16" s="39" t="n">
        <x:f>'Monthly Summary'!B10-'Subscription Costs'!G27</x:f>
        <x:v>0</x:v>
      </x:c>
      <x:c r="D16" s="47" t="str">
        <x:v>Monthly total equals subscription rollup.</x:v>
      </x:c>
    </x:row>
    <x:row r="17">
      <x:c r="A17" s="47" t="str">
        <x:v>Six-month total</x:v>
      </x:c>
      <x:c r="B17" s="47" t="str">
        <x:f>IF(ABS(C17)&lt;0.01,"PASS","FAIL")</x:f>
        <x:v>PASS</x:v>
      </x:c>
      <x:c r="C17" s="39" t="n">
        <x:f>ROUND(SUM('Monthly Summary'!B5:B10)-'Subscription Costs'!H27,2)</x:f>
        <x:v>0</x:v>
      </x:c>
      <x:c r="D17" s="47" t="str">
        <x:v>Six monthly totals equal the six-month subscription total.</x:v>
      </x:c>
    </x:row>
  </x:sheetData>
  <x:mergeCells>
    <x:mergeCell ref="A1:H2"/>
    <x:mergeCell ref="A3:H3"/>
    <x:mergeCell ref="A9:D9"/>
    <x:mergeCell ref="F9:H9"/>
    <x:mergeCell ref="F10:H11"/>
  </x:mergeCells>
  <x:conditionalFormatting sqref="B11:B17">
    <x:cfRule type="containsText" dxfId="6" priority="1" operator="containsText" text="PASS"/>
    <x:cfRule type="containsText" dxfId="7" priority="2" operator="containsText" text="FAIL"/>
  </x:conditionalFormatting>
  <x:pageMargins left="0.7" right="0.7" top="0.75" bottom="0.75" header="0.3" footer="0.3"/>
  <x:tableParts count="2">
    <x:tablePart xmlns:r="http://schemas.openxmlformats.org/officeDocument/2006/relationships" r:id="Re6e7c85ad7474eb2"/>
    <x:tablePart xmlns:r="http://schemas.openxmlformats.org/officeDocument/2006/relationships" r:id="R7b6ae366b7984cbe"/>
  </x:tableParts>
</x:worksheet>
</file>